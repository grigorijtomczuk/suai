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igorijtomczuk/Desktop/suai/it/lab04/"/>
    </mc:Choice>
  </mc:AlternateContent>
  <xr:revisionPtr revIDLastSave="0" documentId="13_ncr:1_{C92B115C-682C-4346-A738-81B5AD515FA3}" xr6:coauthVersionLast="47" xr6:coauthVersionMax="47" xr10:uidLastSave="{00000000-0000-0000-0000-000000000000}"/>
  <bookViews>
    <workbookView xWindow="-35800" yWindow="11540" windowWidth="35620" windowHeight="22120" activeTab="5" xr2:uid="{00000000-000D-0000-FFFF-FFFF00000000}"/>
  </bookViews>
  <sheets>
    <sheet name="Сведения о сотрудниках" sheetId="1" r:id="rId1"/>
    <sheet name="Премиальные баллы" sheetId="2" r:id="rId2"/>
    <sheet name="Штрафные баллы" sheetId="3" r:id="rId3"/>
    <sheet name="Расчет премии" sheetId="4" r:id="rId4"/>
    <sheet name="Поиск информации" sheetId="5" r:id="rId5"/>
    <sheet name="Отчеты" sheetId="6" r:id="rId6"/>
  </sheets>
  <definedNames>
    <definedName name="_xleta.IF" hidden="1" xlm="1">#NAME?</definedName>
    <definedName name="_xleta.INDEX" hidden="1" xlm="1">#NAME?</definedName>
    <definedName name="_xleta.MATCH" hidden="1" xlm="1">#NAME?</definedName>
    <definedName name="_xleta.RANK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E3" i="3"/>
  <c r="E4" i="3"/>
  <c r="E5" i="3"/>
  <c r="E6" i="3"/>
  <c r="E11" i="4" s="1"/>
  <c r="E7" i="3"/>
  <c r="E12" i="4" s="1"/>
  <c r="E8" i="3"/>
  <c r="E9" i="3"/>
  <c r="E10" i="3"/>
  <c r="E11" i="3"/>
  <c r="E2" i="3"/>
  <c r="E3" i="2"/>
  <c r="E4" i="2"/>
  <c r="D9" i="4" s="1"/>
  <c r="E5" i="2"/>
  <c r="D10" i="4" s="1"/>
  <c r="E6" i="2"/>
  <c r="D11" i="4" s="1"/>
  <c r="E7" i="2"/>
  <c r="E8" i="2"/>
  <c r="E9" i="2"/>
  <c r="D14" i="4" s="1"/>
  <c r="E10" i="2"/>
  <c r="D15" i="4" s="1"/>
  <c r="E11" i="2"/>
  <c r="E2" i="2"/>
  <c r="D7" i="4" s="1"/>
  <c r="C10" i="4"/>
  <c r="C11" i="4"/>
  <c r="C12" i="4"/>
  <c r="C13" i="4"/>
  <c r="C14" i="4"/>
  <c r="C15" i="4"/>
  <c r="C16" i="4"/>
  <c r="D12" i="4"/>
  <c r="D13" i="4"/>
  <c r="D16" i="4"/>
  <c r="E10" i="4"/>
  <c r="E13" i="4"/>
  <c r="E14" i="4"/>
  <c r="E15" i="4"/>
  <c r="E16" i="4"/>
  <c r="H11" i="1"/>
  <c r="H10" i="1"/>
  <c r="H9" i="1"/>
  <c r="H8" i="1"/>
  <c r="H7" i="1"/>
  <c r="H6" i="1"/>
  <c r="H5" i="1"/>
  <c r="G11" i="1"/>
  <c r="B16" i="4" s="1"/>
  <c r="G10" i="1"/>
  <c r="B15" i="4" s="1"/>
  <c r="G9" i="1"/>
  <c r="B14" i="4" s="1"/>
  <c r="G8" i="1"/>
  <c r="B13" i="4" s="1"/>
  <c r="G7" i="1"/>
  <c r="B12" i="4" s="1"/>
  <c r="G6" i="1"/>
  <c r="B11" i="4" s="1"/>
  <c r="G5" i="1"/>
  <c r="B10" i="4" s="1"/>
  <c r="B4" i="5"/>
  <c r="C4" i="5"/>
  <c r="D4" i="5"/>
  <c r="E4" i="5"/>
  <c r="A4" i="5"/>
  <c r="E8" i="4"/>
  <c r="E9" i="4"/>
  <c r="E7" i="4"/>
  <c r="D8" i="4"/>
  <c r="H3" i="1"/>
  <c r="C8" i="4" s="1"/>
  <c r="H4" i="1"/>
  <c r="C9" i="4" s="1"/>
  <c r="H2" i="1"/>
  <c r="C7" i="4" s="1"/>
  <c r="G4" i="1"/>
  <c r="B9" i="4" s="1"/>
  <c r="G3" i="1"/>
  <c r="B8" i="4" s="1"/>
  <c r="B7" i="4"/>
  <c r="F16" i="4" l="1"/>
  <c r="F12" i="4"/>
  <c r="F10" i="4"/>
  <c r="F11" i="4"/>
  <c r="F13" i="4"/>
  <c r="F15" i="4"/>
  <c r="G15" i="4" s="1"/>
  <c r="F14" i="4"/>
  <c r="G4" i="5"/>
  <c r="F4" i="5"/>
  <c r="F8" i="4"/>
  <c r="F9" i="4"/>
  <c r="F7" i="4"/>
  <c r="G14" i="4" l="1"/>
  <c r="G13" i="4"/>
  <c r="G11" i="4"/>
  <c r="G9" i="4"/>
  <c r="G10" i="4"/>
  <c r="G8" i="4"/>
  <c r="G12" i="4"/>
  <c r="G16" i="4"/>
  <c r="G7" i="4"/>
</calcChain>
</file>

<file path=xl/sharedStrings.xml><?xml version="1.0" encoding="utf-8"?>
<sst xmlns="http://schemas.openxmlformats.org/spreadsheetml/2006/main" count="106" uniqueCount="58">
  <si>
    <t>ФИО</t>
  </si>
  <si>
    <t>Должность</t>
  </si>
  <si>
    <t>Дата приёма</t>
  </si>
  <si>
    <t>Зарплата</t>
  </si>
  <si>
    <t>Адрес</t>
  </si>
  <si>
    <t>Телефон</t>
  </si>
  <si>
    <t>Стаж (лет)</t>
  </si>
  <si>
    <t>Коэф. зарплаты</t>
  </si>
  <si>
    <t>Иванов И.И.</t>
  </si>
  <si>
    <t>Инженер</t>
  </si>
  <si>
    <t>ул. Ленина, 1</t>
  </si>
  <si>
    <t>Петров П.П.</t>
  </si>
  <si>
    <t>Менеджер</t>
  </si>
  <si>
    <t>Сидорова А.А.</t>
  </si>
  <si>
    <t>Бухгалтер</t>
  </si>
  <si>
    <t>Благодарность</t>
  </si>
  <si>
    <t>Внеурочные</t>
  </si>
  <si>
    <t>Инициативность</t>
  </si>
  <si>
    <t>Сумма баллов</t>
  </si>
  <si>
    <t>Опоздания</t>
  </si>
  <si>
    <t>Ошибки</t>
  </si>
  <si>
    <t>Пропуски</t>
  </si>
  <si>
    <t>Ограничение по смете:</t>
  </si>
  <si>
    <t>Стаж</t>
  </si>
  <si>
    <t>Коэф.</t>
  </si>
  <si>
    <t>Прем. баллы</t>
  </si>
  <si>
    <t>Штраф. баллы</t>
  </si>
  <si>
    <t>Без ограничений</t>
  </si>
  <si>
    <t>Итоговая сумма</t>
  </si>
  <si>
    <t>ФИО для поиска:</t>
  </si>
  <si>
    <t>Максимальные премиальные баллы:</t>
  </si>
  <si>
    <t>Максимальные штрафные баллы:</t>
  </si>
  <si>
    <t>HR-специалист</t>
  </si>
  <si>
    <t>ул. Советская, 12</t>
  </si>
  <si>
    <t>пр. Мира, 33</t>
  </si>
  <si>
    <t>Кузнецов Д.Д.</t>
  </si>
  <si>
    <t>Программист</t>
  </si>
  <si>
    <t>ул. Рабочая, 8</t>
  </si>
  <si>
    <t>Морозова Е.Е.</t>
  </si>
  <si>
    <t>Аналитик</t>
  </si>
  <si>
    <t>ул. Пушкина, 14</t>
  </si>
  <si>
    <t>Васильев Н.Н.</t>
  </si>
  <si>
    <t>ул. Школьная, 3</t>
  </si>
  <si>
    <t>Смирнова К.К.</t>
  </si>
  <si>
    <t>Секретарь</t>
  </si>
  <si>
    <t>пер. Лесной, 5</t>
  </si>
  <si>
    <t>Федоров С.С.</t>
  </si>
  <si>
    <t>Тестировщик</t>
  </si>
  <si>
    <t>ул. Гоголя, 20</t>
  </si>
  <si>
    <t>Тихонова М.М.</t>
  </si>
  <si>
    <t>Маркетолог</t>
  </si>
  <si>
    <t>ул. Центральная, 9</t>
  </si>
  <si>
    <t>Григорьев Л.Л.</t>
  </si>
  <si>
    <t>Администратор</t>
  </si>
  <si>
    <t>ул. Южная, 11</t>
  </si>
  <si>
    <t>Выплата за 1 год стажа:</t>
  </si>
  <si>
    <t>Выплата за 1 премиальный балл:</t>
  </si>
  <si>
    <t>Выплата за 1 штрафной балл: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</si>
</sst>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#,##0.00\ [$₽-419]"/>
    <numFmt numFmtId="166" formatCode="[$]dd\.mm\.yyyy;@" x16r2:formatCode16="[$-ru-US,1]dd\.mm\.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1" fillId="0" borderId="1" xfId="0" applyFont="1" applyBorder="1"/>
    <xf numFmtId="165" fontId="0" fillId="0" borderId="1" xfId="0" applyNumberFormat="1" applyBorder="1"/>
    <xf numFmtId="0" fontId="1" fillId="3" borderId="1" xfId="0" applyFont="1" applyFill="1" applyBorder="1"/>
    <xf numFmtId="0" fontId="0" fillId="3" borderId="1" xfId="0" applyFill="1" applyBorder="1"/>
    <xf numFmtId="165" fontId="0" fillId="2" borderId="1" xfId="0" applyNumberFormat="1" applyFill="1" applyBorder="1"/>
    <xf numFmtId="164" fontId="0" fillId="2" borderId="1" xfId="0" applyNumberFormat="1" applyFill="1" applyBorder="1"/>
    <xf numFmtId="166" fontId="0" fillId="0" borderId="0" xfId="0" applyNumberFormat="1"/>
    <xf numFmtId="166" fontId="0" fillId="0" borderId="1" xfId="0" applyNumberFormat="1" applyBorder="1"/>
    <xf numFmtId="0" fontId="0" fillId="2" borderId="1" xfId="0" applyFill="1" applyBorder="1"/>
  </cellXfs>
  <cellStyles count="1">
    <cellStyle name="Обычный" xfId="0" builtinId="0"/>
  </cellStyles>
  <dxfs count="10">
    <dxf>
      <numFmt numFmtId="165" formatCode="#,##0.00\ [$₽-419]"/>
    </dxf>
    <dxf>
      <numFmt numFmtId="165" formatCode="#,##0.00\ [$₽-419]"/>
    </dxf>
    <dxf>
      <numFmt numFmtId="164" formatCode="0.00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64" formatCode="0.000"/>
    </dxf>
    <dxf>
      <numFmt numFmtId="164" formatCode="0.000"/>
    </dxf>
    <dxf>
      <numFmt numFmtId="165" formatCode="#,##0.00\ [$₽-419]"/>
    </dxf>
    <dxf>
      <numFmt numFmtId="166" formatCode="[$]dd\.mm\.yyyy;@" x16r2:formatCode16="[$-ru-US,1]dd\.mm\.yyyy;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190500</xdr:rowOff>
        </xdr:from>
        <xdr:to>
          <xdr:col>5</xdr:col>
          <xdr:colOff>673100</xdr:colOff>
          <xdr:row>4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Сформировать отчет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83A006-8FF7-8949-A5F3-72BDD38ECBCD}" name="Сотрудники" displayName="Сотрудники" ref="A1:H11">
  <autoFilter ref="A1:H11" xr:uid="{5483A006-8FF7-8949-A5F3-72BDD38ECBCD}"/>
  <tableColumns count="8">
    <tableColumn id="1" xr3:uid="{664DB434-F98E-9148-BCCE-F3E4E4EA0189}" name="ФИО" totalsRowLabel="Total"/>
    <tableColumn id="2" xr3:uid="{36412298-D35A-CC46-92E5-0CE1837D0D3D}" name="Должность"/>
    <tableColumn id="3" xr3:uid="{788118FB-B5A7-E047-9A21-2F14B920EF52}" name="Дата приёма" dataDxfId="9"/>
    <tableColumn id="4" xr3:uid="{01F21279-76DA-A84D-B0A8-DF1CFDF83E50}" name="Зарплата" dataDxfId="8"/>
    <tableColumn id="5" xr3:uid="{42E4883D-5283-8248-BFB8-85BE83336ED1}" name="Адрес"/>
    <tableColumn id="6" xr3:uid="{E058EF61-6E3B-A443-BE49-B0AEC2A30649}" name="Телефон"/>
    <tableColumn id="7" xr3:uid="{C3889DC6-BDAC-9D4B-96F6-D2240800E9F7}" name="Стаж (лет)">
      <calculatedColumnFormula>INT((TODAY()-C2)/365)</calculatedColumnFormula>
    </tableColumn>
    <tableColumn id="8" xr3:uid="{3F4E5251-7B3C-624A-81A8-9BE3C350311F}" name="Коэф. зарплаты" totalsRowFunction="sum" dataDxfId="7" totalsRowDxfId="6">
      <calculatedColumnFormula>D2/AVERAGE(D:D)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298C1A-E4C8-0042-AAEF-2A77FA7A0500}" name="Table2" displayName="Table2" ref="A1:E11" totalsRowShown="0">
  <autoFilter ref="A1:E11" xr:uid="{77298C1A-E4C8-0042-AAEF-2A77FA7A0500}"/>
  <tableColumns count="5">
    <tableColumn id="1" xr3:uid="{42B613E1-8E2B-3E45-BE68-8D8B43181CEB}" name="ФИО"/>
    <tableColumn id="2" xr3:uid="{DE07D087-3C2A-5B4B-8008-DFEB922EA29B}" name="Благодарность"/>
    <tableColumn id="3" xr3:uid="{938D42B1-A6A6-2F4E-B2E3-2A580E29B9DA}" name="Внеурочные"/>
    <tableColumn id="4" xr3:uid="{2CF9693B-BE52-4E43-8DBB-E9066F32C5EF}" name="Инициативность"/>
    <tableColumn id="5" xr3:uid="{7ABF34D6-5215-D34F-9AA2-EFF61817059B}" name="Сумма баллов">
      <calculatedColumnFormula>SUM(Table2[[#This Row],[Благодарность]:[Инициативность]])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A17410-D6EC-3E4D-A215-0C8B1E0EEECD}" name="Table3" displayName="Table3" ref="A1:E11" totalsRowShown="0">
  <autoFilter ref="A1:E11" xr:uid="{69A17410-D6EC-3E4D-A215-0C8B1E0EEECD}"/>
  <tableColumns count="5">
    <tableColumn id="1" xr3:uid="{085EA233-6FB3-444E-AB02-D520D8AADC2D}" name="ФИО"/>
    <tableColumn id="2" xr3:uid="{0183FC81-C786-8E4A-9F81-F94C79B40993}" name="Опоздания"/>
    <tableColumn id="3" xr3:uid="{AF6DDE56-3C5F-8F43-9F5B-94B08A59690A}" name="Ошибки"/>
    <tableColumn id="4" xr3:uid="{F26E4677-5D6E-564D-B517-62B6DAD6D7BD}" name="Пропуски"/>
    <tableColumn id="5" xr3:uid="{95301630-A961-284F-AFF2-8A2F78389622}" name="Сумма баллов">
      <calculatedColumnFormula>SUM(Table3[[#This Row],[Опоздания]:[Пропуски]])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691242F-8111-E14A-871E-61009F06D1DD}" name="Table4" displayName="Table4" ref="A6:G16" totalsRowShown="0">
  <autoFilter ref="A6:G16" xr:uid="{8691242F-8111-E14A-871E-61009F06D1DD}"/>
  <tableColumns count="7">
    <tableColumn id="1" xr3:uid="{7E59B427-FF9E-4242-88F7-23DAFFEA7137}" name="ФИО"/>
    <tableColumn id="2" xr3:uid="{BA88D348-A3E4-9C44-858A-829D3C57020A}" name="Стаж">
      <calculatedColumnFormula>VLOOKUP($A7,'Сведения о сотрудниках'!$A:$H,7,FALSE)</calculatedColumnFormula>
    </tableColumn>
    <tableColumn id="3" xr3:uid="{E21A2AC3-0F6D-2B4F-B6F1-DD799EF431DF}" name="Коэф." dataDxfId="2">
      <calculatedColumnFormula>VLOOKUP($A7,'Сведения о сотрудниках'!$A:$H,8,FALSE)</calculatedColumnFormula>
    </tableColumn>
    <tableColumn id="4" xr3:uid="{AC1038C7-B3B4-C149-8C03-C24860835976}" name="Прем. баллы">
      <calculatedColumnFormula>VLOOKUP($A7,'Премиальные баллы'!$A:$E,5,FALSE)</calculatedColumnFormula>
    </tableColumn>
    <tableColumn id="5" xr3:uid="{94D99A75-7401-C644-B3C2-F645A5D74B74}" name="Штраф. баллы">
      <calculatedColumnFormula>VLOOKUP($A7,'Штрафные баллы'!$A:$E,5,FALSE)</calculatedColumnFormula>
    </tableColumn>
    <tableColumn id="6" xr3:uid="{16DBB7E2-7BAA-7944-BFA8-2B98EC4389D5}" name="Без ограничений" dataDxfId="1">
      <calculatedColumnFormula>B7*$B$1*C7+D7*$B$2-E7*$B$3</calculatedColumnFormula>
    </tableColumn>
    <tableColumn id="7" xr3:uid="{A4F08879-A8CD-1249-8582-B697DEC66A72}" name="Итоговая сумма" dataDxfId="0">
      <calculatedColumnFormula>IF(Table4[[#This Row],[Без ограничений]]&gt;0,F7/SUM(F:F)*$B$4,0)</calculatedColumnFormula>
    </tableColumn>
  </tableColumns>
  <tableStyleInfo name="TableStyleLight1" showFirstColumn="0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"/>
  <sheetViews>
    <sheetView zoomScale="200" workbookViewId="0">
      <selection activeCell="H6" sqref="H6"/>
    </sheetView>
  </sheetViews>
  <sheetFormatPr baseColWidth="10" defaultColWidth="8.83203125" defaultRowHeight="15" x14ac:dyDescent="0.2"/>
  <cols>
    <col min="1" max="1" width="15" customWidth="1"/>
    <col min="2" max="2" width="13.5" bestFit="1" customWidth="1"/>
    <col min="3" max="3" width="13.33203125" customWidth="1"/>
    <col min="4" max="4" width="12" customWidth="1"/>
    <col min="5" max="5" width="16" customWidth="1"/>
    <col min="6" max="6" width="12" customWidth="1"/>
    <col min="7" max="7" width="11.6640625" customWidth="1"/>
    <col min="8" max="8" width="20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 t="s">
        <v>8</v>
      </c>
      <c r="B2" t="s">
        <v>9</v>
      </c>
      <c r="C2" s="9">
        <v>45078</v>
      </c>
      <c r="D2" s="2">
        <v>50000</v>
      </c>
      <c r="E2" t="s">
        <v>10</v>
      </c>
      <c r="F2">
        <v>1234567890</v>
      </c>
      <c r="G2">
        <f ca="1">INT((TODAY()-C2)/365)</f>
        <v>1</v>
      </c>
      <c r="H2" s="1">
        <f t="shared" ref="H2:H11" si="0">D2/AVERAGE(D:D)</f>
        <v>0.99304865938430986</v>
      </c>
    </row>
    <row r="3" spans="1:8" x14ac:dyDescent="0.2">
      <c r="A3" t="s">
        <v>11</v>
      </c>
      <c r="B3" t="s">
        <v>12</v>
      </c>
      <c r="C3" s="9">
        <v>43174</v>
      </c>
      <c r="D3" s="2">
        <v>47000</v>
      </c>
      <c r="E3" t="s">
        <v>33</v>
      </c>
      <c r="F3">
        <v>9876543210</v>
      </c>
      <c r="G3">
        <f ca="1">INT((TODAY()-C3)/365)</f>
        <v>7</v>
      </c>
      <c r="H3" s="1">
        <f t="shared" si="0"/>
        <v>0.93346573982125125</v>
      </c>
    </row>
    <row r="4" spans="1:8" x14ac:dyDescent="0.2">
      <c r="A4" t="s">
        <v>13</v>
      </c>
      <c r="B4" t="s">
        <v>14</v>
      </c>
      <c r="C4" s="9">
        <v>43789</v>
      </c>
      <c r="D4" s="2">
        <v>53000</v>
      </c>
      <c r="E4" t="s">
        <v>34</v>
      </c>
      <c r="F4">
        <v>8912345678</v>
      </c>
      <c r="G4">
        <f ca="1">INT((TODAY()-C4)/365)</f>
        <v>5</v>
      </c>
      <c r="H4" s="1">
        <f t="shared" si="0"/>
        <v>1.0526315789473684</v>
      </c>
    </row>
    <row r="5" spans="1:8" x14ac:dyDescent="0.2">
      <c r="A5" t="s">
        <v>35</v>
      </c>
      <c r="B5" t="s">
        <v>36</v>
      </c>
      <c r="C5" s="9">
        <v>44013</v>
      </c>
      <c r="D5" s="2">
        <v>62000</v>
      </c>
      <c r="E5" t="s">
        <v>37</v>
      </c>
      <c r="F5">
        <v>8901234567</v>
      </c>
      <c r="G5">
        <f t="shared" ref="G5:G11" ca="1" si="1">INT((TODAY()-C5)/365)</f>
        <v>4</v>
      </c>
      <c r="H5" s="1">
        <f t="shared" si="0"/>
        <v>1.2313803376365442</v>
      </c>
    </row>
    <row r="6" spans="1:8" x14ac:dyDescent="0.2">
      <c r="A6" t="s">
        <v>38</v>
      </c>
      <c r="B6" t="s">
        <v>39</v>
      </c>
      <c r="C6" s="9">
        <v>42983</v>
      </c>
      <c r="D6" s="2">
        <v>51000</v>
      </c>
      <c r="E6" t="s">
        <v>40</v>
      </c>
      <c r="F6">
        <v>8999888777</v>
      </c>
      <c r="G6">
        <f t="shared" ca="1" si="1"/>
        <v>7</v>
      </c>
      <c r="H6" s="1">
        <f t="shared" si="0"/>
        <v>1.012909632571996</v>
      </c>
    </row>
    <row r="7" spans="1:8" x14ac:dyDescent="0.2">
      <c r="A7" t="s">
        <v>41</v>
      </c>
      <c r="B7" t="s">
        <v>32</v>
      </c>
      <c r="C7" s="9">
        <v>44936</v>
      </c>
      <c r="D7" s="2">
        <v>48000</v>
      </c>
      <c r="E7" t="s">
        <v>42</v>
      </c>
      <c r="F7">
        <v>8923456789</v>
      </c>
      <c r="G7">
        <f t="shared" ca="1" si="1"/>
        <v>2</v>
      </c>
      <c r="H7" s="1">
        <f t="shared" si="0"/>
        <v>0.95332671300893745</v>
      </c>
    </row>
    <row r="8" spans="1:8" x14ac:dyDescent="0.2">
      <c r="A8" t="s">
        <v>43</v>
      </c>
      <c r="B8" t="s">
        <v>44</v>
      </c>
      <c r="C8" s="9">
        <v>45430</v>
      </c>
      <c r="D8" s="2">
        <v>45000</v>
      </c>
      <c r="E8" t="s">
        <v>45</v>
      </c>
      <c r="F8">
        <v>8911987654</v>
      </c>
      <c r="G8">
        <f t="shared" ca="1" si="1"/>
        <v>0</v>
      </c>
      <c r="H8" s="1">
        <f t="shared" si="0"/>
        <v>0.89374379344587884</v>
      </c>
    </row>
    <row r="9" spans="1:8" x14ac:dyDescent="0.2">
      <c r="A9" t="s">
        <v>46</v>
      </c>
      <c r="B9" t="s">
        <v>47</v>
      </c>
      <c r="C9" s="9">
        <v>44190</v>
      </c>
      <c r="D9" s="2">
        <v>49500</v>
      </c>
      <c r="E9" t="s">
        <v>48</v>
      </c>
      <c r="F9">
        <v>8932123456</v>
      </c>
      <c r="G9">
        <f t="shared" ca="1" si="1"/>
        <v>4</v>
      </c>
      <c r="H9" s="1">
        <f t="shared" si="0"/>
        <v>0.98311817279046676</v>
      </c>
    </row>
    <row r="10" spans="1:8" x14ac:dyDescent="0.2">
      <c r="A10" t="s">
        <v>49</v>
      </c>
      <c r="B10" t="s">
        <v>50</v>
      </c>
      <c r="C10" s="9">
        <v>45534</v>
      </c>
      <c r="D10" s="2">
        <v>52000</v>
      </c>
      <c r="E10" t="s">
        <v>51</v>
      </c>
      <c r="F10">
        <v>8905678901</v>
      </c>
      <c r="G10">
        <f t="shared" ca="1" si="1"/>
        <v>0</v>
      </c>
      <c r="H10" s="1">
        <f t="shared" si="0"/>
        <v>1.0327706057596822</v>
      </c>
    </row>
    <row r="11" spans="1:8" x14ac:dyDescent="0.2">
      <c r="A11" t="s">
        <v>52</v>
      </c>
      <c r="B11" t="s">
        <v>53</v>
      </c>
      <c r="C11" s="9">
        <v>43577</v>
      </c>
      <c r="D11" s="2">
        <v>46000</v>
      </c>
      <c r="E11" t="s">
        <v>54</v>
      </c>
      <c r="F11">
        <v>8987654321</v>
      </c>
      <c r="G11">
        <f t="shared" ca="1" si="1"/>
        <v>6</v>
      </c>
      <c r="H11" s="1">
        <f t="shared" si="0"/>
        <v>0.91360476663356505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zoomScale="194" workbookViewId="0">
      <selection activeCell="E2" sqref="E2:E10"/>
    </sheetView>
  </sheetViews>
  <sheetFormatPr baseColWidth="10" defaultColWidth="8.83203125" defaultRowHeight="15" x14ac:dyDescent="0.2"/>
  <cols>
    <col min="1" max="2" width="15" customWidth="1"/>
    <col min="3" max="3" width="12.5" customWidth="1"/>
    <col min="4" max="4" width="16" customWidth="1"/>
    <col min="5" max="5" width="14.1640625" customWidth="1"/>
  </cols>
  <sheetData>
    <row r="1" spans="1:5" x14ac:dyDescent="0.2">
      <c r="A1" t="s">
        <v>0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2">
      <c r="A2" t="s">
        <v>8</v>
      </c>
      <c r="B2">
        <v>3</v>
      </c>
      <c r="C2">
        <v>4</v>
      </c>
      <c r="D2">
        <v>2</v>
      </c>
      <c r="E2">
        <f>SUM(Table2[[#This Row],[Благодарность]:[Инициативность]])</f>
        <v>9</v>
      </c>
    </row>
    <row r="3" spans="1:5" x14ac:dyDescent="0.2">
      <c r="A3" t="s">
        <v>11</v>
      </c>
      <c r="B3">
        <v>2</v>
      </c>
      <c r="C3">
        <v>2</v>
      </c>
      <c r="D3">
        <v>1</v>
      </c>
      <c r="E3">
        <f>SUM(Table2[[#This Row],[Благодарность]:[Инициативность]])</f>
        <v>5</v>
      </c>
    </row>
    <row r="4" spans="1:5" x14ac:dyDescent="0.2">
      <c r="A4" t="s">
        <v>13</v>
      </c>
      <c r="B4">
        <v>2</v>
      </c>
      <c r="C4">
        <v>2</v>
      </c>
      <c r="D4">
        <v>0</v>
      </c>
      <c r="E4">
        <f>SUM(Table2[[#This Row],[Благодарность]:[Инициативность]])</f>
        <v>4</v>
      </c>
    </row>
    <row r="5" spans="1:5" x14ac:dyDescent="0.2">
      <c r="A5" t="s">
        <v>35</v>
      </c>
      <c r="B5">
        <v>2</v>
      </c>
      <c r="C5">
        <v>5</v>
      </c>
      <c r="D5">
        <v>3</v>
      </c>
      <c r="E5">
        <f>SUM(Table2[[#This Row],[Благодарность]:[Инициативность]])</f>
        <v>10</v>
      </c>
    </row>
    <row r="6" spans="1:5" x14ac:dyDescent="0.2">
      <c r="A6" t="s">
        <v>38</v>
      </c>
      <c r="B6">
        <v>3</v>
      </c>
      <c r="C6">
        <v>3</v>
      </c>
      <c r="D6">
        <v>3</v>
      </c>
      <c r="E6">
        <f>SUM(Table2[[#This Row],[Благодарность]:[Инициативность]])</f>
        <v>9</v>
      </c>
    </row>
    <row r="7" spans="1:5" x14ac:dyDescent="0.2">
      <c r="A7" t="s">
        <v>41</v>
      </c>
      <c r="B7">
        <v>1</v>
      </c>
      <c r="C7">
        <v>0</v>
      </c>
      <c r="D7">
        <v>4</v>
      </c>
      <c r="E7">
        <f>SUM(Table2[[#This Row],[Благодарность]:[Инициативность]])</f>
        <v>5</v>
      </c>
    </row>
    <row r="8" spans="1:5" x14ac:dyDescent="0.2">
      <c r="A8" t="s">
        <v>43</v>
      </c>
      <c r="B8">
        <v>5</v>
      </c>
      <c r="C8">
        <v>3</v>
      </c>
      <c r="D8">
        <v>1</v>
      </c>
      <c r="E8">
        <f>SUM(Table2[[#This Row],[Благодарность]:[Инициативность]])</f>
        <v>9</v>
      </c>
    </row>
    <row r="9" spans="1:5" x14ac:dyDescent="0.2">
      <c r="A9" t="s">
        <v>46</v>
      </c>
      <c r="B9">
        <v>4</v>
      </c>
      <c r="C9">
        <v>4</v>
      </c>
      <c r="D9">
        <v>2</v>
      </c>
      <c r="E9">
        <f>SUM(Table2[[#This Row],[Благодарность]:[Инициативность]])</f>
        <v>10</v>
      </c>
    </row>
    <row r="10" spans="1:5" x14ac:dyDescent="0.2">
      <c r="A10" t="s">
        <v>49</v>
      </c>
      <c r="B10">
        <v>0</v>
      </c>
      <c r="C10">
        <v>0</v>
      </c>
      <c r="D10">
        <v>0</v>
      </c>
      <c r="E10">
        <f>SUM(Table2[[#This Row],[Благодарность]:[Инициативность]])</f>
        <v>0</v>
      </c>
    </row>
    <row r="11" spans="1:5" x14ac:dyDescent="0.2">
      <c r="A11" t="s">
        <v>52</v>
      </c>
      <c r="B11">
        <v>3</v>
      </c>
      <c r="C11">
        <v>2</v>
      </c>
      <c r="D11">
        <v>1</v>
      </c>
      <c r="E11">
        <f>SUM(Table2[[#This Row],[Благодарность]:[Инициативность]])</f>
        <v>6</v>
      </c>
    </row>
  </sheetData>
  <conditionalFormatting sqref="E2:E11">
    <cfRule type="aboveAverage" dxfId="5" priority="3"/>
    <cfRule type="expression" dxfId="4" priority="4">
      <formula>E2&gt;AVERAGE(E:E)</formula>
    </cfRule>
  </conditionalFormatting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1"/>
  <sheetViews>
    <sheetView zoomScale="189" workbookViewId="0">
      <selection activeCell="B8" sqref="B8"/>
    </sheetView>
  </sheetViews>
  <sheetFormatPr baseColWidth="10" defaultColWidth="8.83203125" defaultRowHeight="15" x14ac:dyDescent="0.2"/>
  <cols>
    <col min="1" max="1" width="15" customWidth="1"/>
    <col min="2" max="4" width="12" customWidth="1"/>
    <col min="5" max="5" width="14" customWidth="1"/>
  </cols>
  <sheetData>
    <row r="1" spans="1:5" x14ac:dyDescent="0.2">
      <c r="A1" t="s">
        <v>0</v>
      </c>
      <c r="B1" t="s">
        <v>19</v>
      </c>
      <c r="C1" t="s">
        <v>20</v>
      </c>
      <c r="D1" t="s">
        <v>21</v>
      </c>
      <c r="E1" t="s">
        <v>18</v>
      </c>
    </row>
    <row r="2" spans="1:5" x14ac:dyDescent="0.2">
      <c r="A2" t="s">
        <v>8</v>
      </c>
      <c r="B2">
        <v>1</v>
      </c>
      <c r="C2">
        <v>0</v>
      </c>
      <c r="D2">
        <v>2</v>
      </c>
      <c r="E2">
        <f>SUM(Table3[[#This Row],[Опоздания]:[Пропуски]])</f>
        <v>3</v>
      </c>
    </row>
    <row r="3" spans="1:5" x14ac:dyDescent="0.2">
      <c r="A3" t="s">
        <v>11</v>
      </c>
      <c r="B3">
        <v>2</v>
      </c>
      <c r="C3">
        <v>1</v>
      </c>
      <c r="D3">
        <v>1</v>
      </c>
      <c r="E3">
        <f>SUM(Table3[[#This Row],[Опоздания]:[Пропуски]])</f>
        <v>4</v>
      </c>
    </row>
    <row r="4" spans="1:5" x14ac:dyDescent="0.2">
      <c r="A4" t="s">
        <v>13</v>
      </c>
      <c r="B4">
        <v>0</v>
      </c>
      <c r="C4">
        <v>0</v>
      </c>
      <c r="D4">
        <v>1</v>
      </c>
      <c r="E4">
        <f>SUM(Table3[[#This Row],[Опоздания]:[Пропуски]])</f>
        <v>1</v>
      </c>
    </row>
    <row r="5" spans="1:5" x14ac:dyDescent="0.2">
      <c r="A5" t="s">
        <v>35</v>
      </c>
      <c r="B5">
        <v>0</v>
      </c>
      <c r="C5">
        <v>1</v>
      </c>
      <c r="D5">
        <v>1</v>
      </c>
      <c r="E5">
        <f>SUM(Table3[[#This Row],[Опоздания]:[Пропуски]])</f>
        <v>2</v>
      </c>
    </row>
    <row r="6" spans="1:5" x14ac:dyDescent="0.2">
      <c r="A6" t="s">
        <v>38</v>
      </c>
      <c r="B6">
        <v>1</v>
      </c>
      <c r="C6">
        <v>1</v>
      </c>
      <c r="D6">
        <v>0</v>
      </c>
      <c r="E6">
        <f>SUM(Table3[[#This Row],[Опоздания]:[Пропуски]])</f>
        <v>2</v>
      </c>
    </row>
    <row r="7" spans="1:5" x14ac:dyDescent="0.2">
      <c r="A7" t="s">
        <v>41</v>
      </c>
      <c r="B7">
        <v>0</v>
      </c>
      <c r="C7">
        <v>1</v>
      </c>
      <c r="D7">
        <v>2</v>
      </c>
      <c r="E7">
        <f>SUM(Table3[[#This Row],[Опоздания]:[Пропуски]])</f>
        <v>3</v>
      </c>
    </row>
    <row r="8" spans="1:5" x14ac:dyDescent="0.2">
      <c r="A8" t="s">
        <v>43</v>
      </c>
      <c r="B8">
        <v>0</v>
      </c>
      <c r="C8">
        <v>1</v>
      </c>
      <c r="D8">
        <v>1</v>
      </c>
      <c r="E8">
        <f>SUM(Table3[[#This Row],[Опоздания]:[Пропуски]])</f>
        <v>2</v>
      </c>
    </row>
    <row r="9" spans="1:5" x14ac:dyDescent="0.2">
      <c r="A9" t="s">
        <v>46</v>
      </c>
      <c r="B9">
        <v>1</v>
      </c>
      <c r="C9">
        <v>1</v>
      </c>
      <c r="D9">
        <v>1</v>
      </c>
      <c r="E9">
        <f>SUM(Table3[[#This Row],[Опоздания]:[Пропуски]])</f>
        <v>3</v>
      </c>
    </row>
    <row r="10" spans="1:5" x14ac:dyDescent="0.2">
      <c r="A10" t="s">
        <v>49</v>
      </c>
      <c r="B10">
        <v>2</v>
      </c>
      <c r="C10">
        <v>2</v>
      </c>
      <c r="D10">
        <v>2</v>
      </c>
      <c r="E10">
        <f>SUM(Table3[[#This Row],[Опоздания]:[Пропуски]])</f>
        <v>6</v>
      </c>
    </row>
    <row r="11" spans="1:5" x14ac:dyDescent="0.2">
      <c r="A11" t="s">
        <v>52</v>
      </c>
      <c r="B11">
        <v>0</v>
      </c>
      <c r="C11">
        <v>0</v>
      </c>
      <c r="D11">
        <v>0</v>
      </c>
      <c r="E11">
        <f>SUM(Table3[[#This Row],[Опоздания]:[Пропуски]])</f>
        <v>0</v>
      </c>
    </row>
  </sheetData>
  <conditionalFormatting sqref="E2:E11">
    <cfRule type="aboveAverage" dxfId="3" priority="5"/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6"/>
  <sheetViews>
    <sheetView zoomScale="188" workbookViewId="0">
      <selection activeCell="G8" sqref="G8"/>
    </sheetView>
  </sheetViews>
  <sheetFormatPr baseColWidth="10" defaultColWidth="8.83203125" defaultRowHeight="15" x14ac:dyDescent="0.2"/>
  <cols>
    <col min="1" max="1" width="29" bestFit="1" customWidth="1"/>
    <col min="2" max="2" width="12.1640625" customWidth="1"/>
    <col min="3" max="3" width="8.1640625" bestFit="1" customWidth="1"/>
    <col min="4" max="4" width="14" bestFit="1" customWidth="1"/>
    <col min="5" max="5" width="15.1640625" bestFit="1" customWidth="1"/>
    <col min="6" max="6" width="17.1640625" bestFit="1" customWidth="1"/>
    <col min="7" max="7" width="16.5" bestFit="1" customWidth="1"/>
    <col min="8" max="8" width="13" customWidth="1"/>
  </cols>
  <sheetData>
    <row r="1" spans="1:8" x14ac:dyDescent="0.2">
      <c r="A1" s="3" t="s">
        <v>55</v>
      </c>
      <c r="B1" s="4">
        <v>1000</v>
      </c>
    </row>
    <row r="2" spans="1:8" x14ac:dyDescent="0.2">
      <c r="A2" s="3" t="s">
        <v>56</v>
      </c>
      <c r="B2" s="4">
        <v>500</v>
      </c>
    </row>
    <row r="3" spans="1:8" x14ac:dyDescent="0.2">
      <c r="A3" s="3" t="s">
        <v>57</v>
      </c>
      <c r="B3" s="4">
        <v>300</v>
      </c>
    </row>
    <row r="4" spans="1:8" x14ac:dyDescent="0.2">
      <c r="A4" s="3" t="s">
        <v>22</v>
      </c>
      <c r="B4" s="4">
        <v>50000</v>
      </c>
    </row>
    <row r="6" spans="1:8" x14ac:dyDescent="0.2">
      <c r="A6" t="s">
        <v>0</v>
      </c>
      <c r="B6" t="s">
        <v>23</v>
      </c>
      <c r="C6" t="s">
        <v>24</v>
      </c>
      <c r="D6" t="s">
        <v>25</v>
      </c>
      <c r="E6" t="s">
        <v>26</v>
      </c>
      <c r="F6" t="s">
        <v>27</v>
      </c>
      <c r="G6" t="s">
        <v>28</v>
      </c>
      <c r="H6" s="2"/>
    </row>
    <row r="7" spans="1:8" x14ac:dyDescent="0.2">
      <c r="A7" t="s">
        <v>8</v>
      </c>
      <c r="B7">
        <f ca="1">VLOOKUP($A7,'Сведения о сотрудниках'!$A:$H,7,FALSE)</f>
        <v>1</v>
      </c>
      <c r="C7" s="1">
        <f>VLOOKUP($A7,'Сведения о сотрудниках'!$A:$H,8,FALSE)</f>
        <v>0.99304865938430986</v>
      </c>
      <c r="D7">
        <f>VLOOKUP($A7,'Премиальные баллы'!$A:$E,5,FALSE)</f>
        <v>9</v>
      </c>
      <c r="E7">
        <f>VLOOKUP($A7,'Штрафные баллы'!$A:$E,5,FALSE)</f>
        <v>3</v>
      </c>
      <c r="F7" s="2">
        <f ca="1">B7*$B$1*C7+D7*$B$2-E7*$B$3</f>
        <v>4593.0486593843098</v>
      </c>
      <c r="G7" s="2">
        <f ca="1">IF(Table4[[#This Row],[Без ограничений]]&gt;0,F7/SUM(F:F)*$B$4,0)</f>
        <v>3714.4293517978667</v>
      </c>
    </row>
    <row r="8" spans="1:8" x14ac:dyDescent="0.2">
      <c r="A8" t="s">
        <v>11</v>
      </c>
      <c r="B8">
        <f ca="1">VLOOKUP($A8,'Сведения о сотрудниках'!$A:$H,7,FALSE)</f>
        <v>7</v>
      </c>
      <c r="C8" s="1">
        <f>VLOOKUP($A8,'Сведения о сотрудниках'!$A:$H,8,FALSE)</f>
        <v>0.93346573982125125</v>
      </c>
      <c r="D8">
        <f>VLOOKUP($A8,'Премиальные баллы'!$A:$E,5,FALSE)</f>
        <v>5</v>
      </c>
      <c r="E8">
        <f>VLOOKUP($A8,'Штрафные баллы'!$A:$E,5,FALSE)</f>
        <v>4</v>
      </c>
      <c r="F8" s="2">
        <f ca="1">B8*$B$1*C8+D8*$B$2-E8*$B$3</f>
        <v>7834.2601787487583</v>
      </c>
      <c r="G8" s="2">
        <f ca="1">IF(Table4[[#This Row],[Без ограничений]]&gt;0,F8/SUM(F:F)*$B$4,0)</f>
        <v>6335.6189136185567</v>
      </c>
    </row>
    <row r="9" spans="1:8" x14ac:dyDescent="0.2">
      <c r="A9" t="s">
        <v>13</v>
      </c>
      <c r="B9">
        <f ca="1">VLOOKUP($A9,'Сведения о сотрудниках'!$A:$H,7,FALSE)</f>
        <v>5</v>
      </c>
      <c r="C9" s="1">
        <f>VLOOKUP($A9,'Сведения о сотрудниках'!$A:$H,8,FALSE)</f>
        <v>1.0526315789473684</v>
      </c>
      <c r="D9">
        <f>VLOOKUP($A9,'Премиальные баллы'!$A:$E,5,FALSE)</f>
        <v>4</v>
      </c>
      <c r="E9">
        <f>VLOOKUP($A9,'Штрафные баллы'!$A:$E,5,FALSE)</f>
        <v>1</v>
      </c>
      <c r="F9" s="2">
        <f ca="1">B9*$B$1*C9+D9*$B$2-E9*$B$3</f>
        <v>6963.1578947368416</v>
      </c>
      <c r="G9" s="2">
        <f ca="1">IF(Table4[[#This Row],[Без ограничений]]&gt;0,F9/SUM(F:F)*$B$4,0)</f>
        <v>5631.1526359663285</v>
      </c>
    </row>
    <row r="10" spans="1:8" x14ac:dyDescent="0.2">
      <c r="A10" t="s">
        <v>35</v>
      </c>
      <c r="B10">
        <f ca="1">VLOOKUP($A10,'Сведения о сотрудниках'!$A:$H,7,FALSE)</f>
        <v>4</v>
      </c>
      <c r="C10" s="1">
        <f>VLOOKUP($A10,'Сведения о сотрудниках'!$A:$H,8,FALSE)</f>
        <v>1.2313803376365442</v>
      </c>
      <c r="D10">
        <f>VLOOKUP($A10,'Премиальные баллы'!$A:$E,5,FALSE)</f>
        <v>10</v>
      </c>
      <c r="E10">
        <f>VLOOKUP($A10,'Штрафные баллы'!$A:$E,5,FALSE)</f>
        <v>2</v>
      </c>
      <c r="F10" s="2">
        <f t="shared" ref="F10:F16" ca="1" si="0">B10*$B$1*C10+D10*$B$2-E10*$B$3</f>
        <v>9325.5213505461761</v>
      </c>
      <c r="G10" s="2">
        <f ca="1">IF(Table4[[#This Row],[Без ограничений]]&gt;0,F10/SUM(F:F)*$B$4,0)</f>
        <v>7541.6118561064186</v>
      </c>
    </row>
    <row r="11" spans="1:8" x14ac:dyDescent="0.2">
      <c r="A11" t="s">
        <v>38</v>
      </c>
      <c r="B11">
        <f ca="1">VLOOKUP($A11,'Сведения о сотрудниках'!$A:$H,7,FALSE)</f>
        <v>7</v>
      </c>
      <c r="C11" s="1">
        <f>VLOOKUP($A11,'Сведения о сотрудниках'!$A:$H,8,FALSE)</f>
        <v>1.012909632571996</v>
      </c>
      <c r="D11">
        <f>VLOOKUP($A11,'Премиальные баллы'!$A:$E,5,FALSE)</f>
        <v>9</v>
      </c>
      <c r="E11">
        <f>VLOOKUP($A11,'Штрафные баллы'!$A:$E,5,FALSE)</f>
        <v>2</v>
      </c>
      <c r="F11" s="2">
        <f t="shared" ca="1" si="0"/>
        <v>10990.36742800397</v>
      </c>
      <c r="G11" s="2">
        <f ca="1">IF(Table4[[#This Row],[Без ограничений]]&gt;0,F11/SUM(F:F)*$B$4,0)</f>
        <v>8887.984079640346</v>
      </c>
    </row>
    <row r="12" spans="1:8" x14ac:dyDescent="0.2">
      <c r="A12" t="s">
        <v>41</v>
      </c>
      <c r="B12">
        <f ca="1">VLOOKUP($A12,'Сведения о сотрудниках'!$A:$H,7,FALSE)</f>
        <v>2</v>
      </c>
      <c r="C12" s="1">
        <f>VLOOKUP($A12,'Сведения о сотрудниках'!$A:$H,8,FALSE)</f>
        <v>0.95332671300893745</v>
      </c>
      <c r="D12">
        <f>VLOOKUP($A12,'Премиальные баллы'!$A:$E,5,FALSE)</f>
        <v>5</v>
      </c>
      <c r="E12">
        <f>VLOOKUP($A12,'Штрафные баллы'!$A:$E,5,FALSE)</f>
        <v>3</v>
      </c>
      <c r="F12" s="2">
        <f t="shared" ca="1" si="0"/>
        <v>3506.6534260178751</v>
      </c>
      <c r="G12" s="2">
        <f ca="1">IF(Table4[[#This Row],[Без ограничений]]&gt;0,F12/SUM(F:F)*$B$4,0)</f>
        <v>2835.8542175621874</v>
      </c>
    </row>
    <row r="13" spans="1:8" x14ac:dyDescent="0.2">
      <c r="A13" t="s">
        <v>43</v>
      </c>
      <c r="B13">
        <f ca="1">VLOOKUP($A13,'Сведения о сотрудниках'!$A:$H,7,FALSE)</f>
        <v>0</v>
      </c>
      <c r="C13" s="1">
        <f>VLOOKUP($A13,'Сведения о сотрудниках'!$A:$H,8,FALSE)</f>
        <v>0.89374379344587884</v>
      </c>
      <c r="D13">
        <f>VLOOKUP($A13,'Премиальные баллы'!$A:$E,5,FALSE)</f>
        <v>9</v>
      </c>
      <c r="E13">
        <f>VLOOKUP($A13,'Штрафные баллы'!$A:$E,5,FALSE)</f>
        <v>2</v>
      </c>
      <c r="F13" s="2">
        <f t="shared" ca="1" si="0"/>
        <v>3900</v>
      </c>
      <c r="G13" s="2">
        <f ca="1">IF(Table4[[#This Row],[Без ограничений]]&gt;0,F13/SUM(F:F)*$B$4,0)</f>
        <v>3153.9562382849958</v>
      </c>
    </row>
    <row r="14" spans="1:8" x14ac:dyDescent="0.2">
      <c r="A14" t="s">
        <v>46</v>
      </c>
      <c r="B14">
        <f ca="1">VLOOKUP($A14,'Сведения о сотрудниках'!$A:$H,7,FALSE)</f>
        <v>4</v>
      </c>
      <c r="C14" s="1">
        <f>VLOOKUP($A14,'Сведения о сотрудниках'!$A:$H,8,FALSE)</f>
        <v>0.98311817279046676</v>
      </c>
      <c r="D14">
        <f>VLOOKUP($A14,'Премиальные баллы'!$A:$E,5,FALSE)</f>
        <v>10</v>
      </c>
      <c r="E14">
        <f>VLOOKUP($A14,'Штрафные баллы'!$A:$E,5,FALSE)</f>
        <v>3</v>
      </c>
      <c r="F14" s="2">
        <f t="shared" ca="1" si="0"/>
        <v>8032.4726911618673</v>
      </c>
      <c r="G14" s="2">
        <f ca="1">IF(Table4[[#This Row],[Без ограничений]]&gt;0,F14/SUM(F:F)*$B$4,0)</f>
        <v>6495.9147059343177</v>
      </c>
    </row>
    <row r="15" spans="1:8" x14ac:dyDescent="0.2">
      <c r="A15" t="s">
        <v>49</v>
      </c>
      <c r="B15">
        <f ca="1">VLOOKUP($A15,'Сведения о сотрудниках'!$A:$H,7,FALSE)</f>
        <v>0</v>
      </c>
      <c r="C15" s="1">
        <f>VLOOKUP($A15,'Сведения о сотрудниках'!$A:$H,8,FALSE)</f>
        <v>1.0327706057596822</v>
      </c>
      <c r="D15">
        <f>VLOOKUP($A15,'Премиальные баллы'!$A:$E,5,FALSE)</f>
        <v>0</v>
      </c>
      <c r="E15">
        <f>VLOOKUP($A15,'Штрафные баллы'!$A:$E,5,FALSE)</f>
        <v>6</v>
      </c>
      <c r="F15" s="2">
        <f t="shared" ca="1" si="0"/>
        <v>-1800</v>
      </c>
      <c r="G15" s="2">
        <f ca="1">IF(Table4[[#This Row],[Без ограничений]]&gt;0,F15/SUM(F:F)*$B$4,0)</f>
        <v>0</v>
      </c>
    </row>
    <row r="16" spans="1:8" x14ac:dyDescent="0.2">
      <c r="A16" t="s">
        <v>52</v>
      </c>
      <c r="B16">
        <f ca="1">VLOOKUP($A16,'Сведения о сотрудниках'!$A:$H,7,FALSE)</f>
        <v>6</v>
      </c>
      <c r="C16" s="1">
        <f>VLOOKUP($A16,'Сведения о сотрудниках'!$A:$H,8,FALSE)</f>
        <v>0.91360476663356505</v>
      </c>
      <c r="D16">
        <f>VLOOKUP($A16,'Премиальные баллы'!$A:$E,5,FALSE)</f>
        <v>6</v>
      </c>
      <c r="E16">
        <f>VLOOKUP($A16,'Штрафные баллы'!$A:$E,5,FALSE)</f>
        <v>0</v>
      </c>
      <c r="F16" s="2">
        <f t="shared" ca="1" si="0"/>
        <v>8481.62859980139</v>
      </c>
      <c r="G16" s="2">
        <f ca="1">IF(Table4[[#This Row],[Без ограничений]]&gt;0,F16/SUM(F:F)*$B$4,0)</f>
        <v>6859.1501110666741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7"/>
  <sheetViews>
    <sheetView zoomScale="182" workbookViewId="0">
      <selection activeCell="B4" sqref="B4"/>
    </sheetView>
  </sheetViews>
  <sheetFormatPr baseColWidth="10" defaultColWidth="8.83203125" defaultRowHeight="15" x14ac:dyDescent="0.2"/>
  <cols>
    <col min="1" max="1" width="14.83203125" customWidth="1"/>
    <col min="2" max="2" width="13" bestFit="1" customWidth="1"/>
    <col min="3" max="3" width="10" bestFit="1" customWidth="1"/>
    <col min="4" max="4" width="15.83203125" bestFit="1" customWidth="1"/>
    <col min="5" max="5" width="11.1640625" bestFit="1" customWidth="1"/>
    <col min="6" max="6" width="9.33203125" bestFit="1" customWidth="1"/>
    <col min="7" max="7" width="13.6640625" bestFit="1" customWidth="1"/>
  </cols>
  <sheetData>
    <row r="1" spans="1:8" x14ac:dyDescent="0.2">
      <c r="A1" s="3" t="s">
        <v>29</v>
      </c>
      <c r="B1" s="11" t="s">
        <v>43</v>
      </c>
    </row>
    <row r="3" spans="1:8" x14ac:dyDescent="0.2">
      <c r="A3" s="5" t="s">
        <v>1</v>
      </c>
      <c r="B3" s="5" t="s">
        <v>2</v>
      </c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</row>
    <row r="4" spans="1:8" x14ac:dyDescent="0.2">
      <c r="A4" s="6" t="str">
        <f>INDEX('Сведения о сотрудниках'!B:B,MATCH($B$1,'Сведения о сотрудниках'!$A:$A,0))</f>
        <v>Секретарь</v>
      </c>
      <c r="B4" s="10">
        <f>INDEX('Сведения о сотрудниках'!C:C,MATCH($B$1,'Сведения о сотрудниках'!$A:$A,0))</f>
        <v>45430</v>
      </c>
      <c r="C4" s="7">
        <f>INDEX('Сведения о сотрудниках'!D:D,MATCH($B$1,'Сведения о сотрудниках'!$A:$A,0))</f>
        <v>45000</v>
      </c>
      <c r="D4" s="6" t="str">
        <f>INDEX('Сведения о сотрудниках'!E:E,MATCH($B$1,'Сведения о сотрудниках'!$A:$A,0))</f>
        <v>пер. Лесной, 5</v>
      </c>
      <c r="E4" s="6">
        <f>INDEX('Сведения о сотрудниках'!F:F,MATCH($B$1,'Сведения о сотрудниках'!$A:$A,0))</f>
        <v>8911987654</v>
      </c>
      <c r="F4" s="6">
        <f ca="1">INDEX('Сведения о сотрудниках'!G:G,MATCH($B$1,'Сведения о сотрудниках'!$A:$A,0))</f>
        <v>0</v>
      </c>
      <c r="G4" s="8">
        <f>INDEX('Сведения о сотрудниках'!H:H,MATCH($B$1,'Сведения о сотрудниках'!$A:$A,0))</f>
        <v>0.89374379344587884</v>
      </c>
    </row>
    <row r="7" spans="1:8" x14ac:dyDescent="0.2">
      <c r="C7" s="9"/>
      <c r="D7" s="2"/>
      <c r="H7" s="1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239" workbookViewId="0">
      <selection activeCell="E9" sqref="E9"/>
    </sheetView>
  </sheetViews>
  <sheetFormatPr baseColWidth="10" defaultColWidth="8.83203125" defaultRowHeight="15" x14ac:dyDescent="0.2"/>
  <cols>
    <col min="1" max="1" width="15.33203125" customWidth="1"/>
    <col min="2" max="2" width="13.5" bestFit="1" customWidth="1"/>
    <col min="3" max="3" width="3.1640625" bestFit="1" customWidth="1"/>
  </cols>
  <sheetData>
    <row r="1" spans="1:3" x14ac:dyDescent="0.2">
      <c r="A1" t="s">
        <v>30</v>
      </c>
    </row>
    <row r="2" spans="1:3" x14ac:dyDescent="0.2">
      <c r="A2" t="s">
        <v>35</v>
      </c>
      <c r="B2" t="s">
        <v>36</v>
      </c>
      <c r="C2">
        <v>10</v>
      </c>
    </row>
    <row r="3" spans="1:3" x14ac:dyDescent="0.2">
      <c r="A3" t="s">
        <v>46</v>
      </c>
      <c r="B3" t="s">
        <v>47</v>
      </c>
      <c r="C3">
        <v>10</v>
      </c>
    </row>
    <row r="5" spans="1:3" x14ac:dyDescent="0.2">
      <c r="A5" t="s">
        <v>31</v>
      </c>
    </row>
    <row r="6" spans="1:3" x14ac:dyDescent="0.2">
      <c r="A6" t="s">
        <v>49</v>
      </c>
      <c r="B6" t="s">
        <v>50</v>
      </c>
      <c r="C6">
        <v>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СформироватьОтчет">
                <anchor moveWithCells="1" sizeWithCells="1">
                  <from>
                    <xdr:col>4</xdr:col>
                    <xdr:colOff>0</xdr:colOff>
                    <xdr:row>1</xdr:row>
                    <xdr:rowOff>190500</xdr:rowOff>
                  </from>
                  <to>
                    <xdr:col>5</xdr:col>
                    <xdr:colOff>673100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Сведения о сотрудниках</vt:lpstr>
      <vt:lpstr>Премиальные баллы</vt:lpstr>
      <vt:lpstr>Штрафные баллы</vt:lpstr>
      <vt:lpstr>Расчет премии</vt:lpstr>
      <vt:lpstr>Поиск информации</vt:lpstr>
      <vt:lpstr>Отчеты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Grigory Tomchuk</cp:lastModifiedBy>
  <dcterms:created xsi:type="dcterms:W3CDTF">2025-05-17T04:22:42Z</dcterms:created>
  <dcterms:modified xsi:type="dcterms:W3CDTF">2025-05-17T08:48:45Z</dcterms:modified>
</cp:coreProperties>
</file>
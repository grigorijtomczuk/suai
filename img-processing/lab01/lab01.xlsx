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igorijtomczuk\Desktop\suai\img-processing\lab01\"/>
    </mc:Choice>
  </mc:AlternateContent>
  <xr:revisionPtr revIDLastSave="0" documentId="13_ncr:1_{3A04C554-4D33-4654-BB92-8BB22CA3485D}" xr6:coauthVersionLast="47" xr6:coauthVersionMax="47" xr10:uidLastSave="{00000000-0000-0000-0000-000000000000}"/>
  <bookViews>
    <workbookView xWindow="19896" yWindow="4932" windowWidth="24504" windowHeight="18744" activeTab="1" xr2:uid="{E1D7532D-BA5A-4A20-9CE1-D1A38AA2BD9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8" i="2" l="1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87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H65" i="2"/>
  <c r="I65" i="2"/>
  <c r="J65" i="2"/>
  <c r="H66" i="2"/>
  <c r="I66" i="2"/>
  <c r="J66" i="2"/>
  <c r="H67" i="2"/>
  <c r="I67" i="2"/>
  <c r="J67" i="2"/>
  <c r="H68" i="2"/>
  <c r="I68" i="2"/>
  <c r="J68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H74" i="2"/>
  <c r="I74" i="2"/>
  <c r="J74" i="2"/>
  <c r="H75" i="2"/>
  <c r="I75" i="2"/>
  <c r="J75" i="2"/>
  <c r="H76" i="2"/>
  <c r="I76" i="2"/>
  <c r="J76" i="2"/>
  <c r="H77" i="2"/>
  <c r="I77" i="2"/>
  <c r="J77" i="2"/>
  <c r="H78" i="2"/>
  <c r="I78" i="2"/>
  <c r="J78" i="2"/>
  <c r="H79" i="2"/>
  <c r="I79" i="2"/>
  <c r="J79" i="2"/>
  <c r="H80" i="2"/>
  <c r="I80" i="2"/>
  <c r="J80" i="2"/>
  <c r="H81" i="2"/>
  <c r="I81" i="2"/>
  <c r="J81" i="2"/>
  <c r="H82" i="2"/>
  <c r="I82" i="2"/>
  <c r="J82" i="2"/>
  <c r="H83" i="2"/>
  <c r="I83" i="2"/>
  <c r="J83" i="2"/>
  <c r="J59" i="2"/>
  <c r="I59" i="2"/>
  <c r="H59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J31" i="2"/>
  <c r="I31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J3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3" i="2"/>
</calcChain>
</file>

<file path=xl/sharedStrings.xml><?xml version="1.0" encoding="utf-8"?>
<sst xmlns="http://schemas.openxmlformats.org/spreadsheetml/2006/main" count="69" uniqueCount="34">
  <si>
    <t>1..10</t>
  </si>
  <si>
    <t>11..20</t>
  </si>
  <si>
    <t>21..30</t>
  </si>
  <si>
    <t>31..40</t>
  </si>
  <si>
    <t>41..50</t>
  </si>
  <si>
    <t>51..60</t>
  </si>
  <si>
    <t>61..70</t>
  </si>
  <si>
    <t>71..80</t>
  </si>
  <si>
    <t>81..90</t>
  </si>
  <si>
    <t>91..100</t>
  </si>
  <si>
    <t>101..110</t>
  </si>
  <si>
    <t>111..120</t>
  </si>
  <si>
    <t>121..130</t>
  </si>
  <si>
    <t>131..140</t>
  </si>
  <si>
    <t>141..150</t>
  </si>
  <si>
    <t>151..160</t>
  </si>
  <si>
    <t>161..170</t>
  </si>
  <si>
    <t>171..180</t>
  </si>
  <si>
    <t>181..190</t>
  </si>
  <si>
    <t>191..200</t>
  </si>
  <si>
    <t>201..210</t>
  </si>
  <si>
    <t>211..220</t>
  </si>
  <si>
    <t>221..230</t>
  </si>
  <si>
    <t>231..240</t>
  </si>
  <si>
    <t>241..250</t>
  </si>
  <si>
    <t>N</t>
  </si>
  <si>
    <t>R</t>
  </si>
  <si>
    <t>шаг 1</t>
  </si>
  <si>
    <t>1/e</t>
  </si>
  <si>
    <t>G</t>
  </si>
  <si>
    <t>B</t>
  </si>
  <si>
    <t>шаг 2</t>
  </si>
  <si>
    <t>шаг 3</t>
  </si>
  <si>
    <t>шаг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</si>
</sst>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Лист2!$B$2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Лист2!$A$3:$A$27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Лист2!$B$3:$B$27</c:f>
              <c:numCache>
                <c:formatCode>General</c:formatCode>
                <c:ptCount val="25"/>
                <c:pt idx="0">
                  <c:v>1</c:v>
                </c:pt>
                <c:pt idx="1">
                  <c:v>0.95599999999999996</c:v>
                </c:pt>
                <c:pt idx="2">
                  <c:v>0.90900000000000003</c:v>
                </c:pt>
                <c:pt idx="3">
                  <c:v>0.876</c:v>
                </c:pt>
                <c:pt idx="4">
                  <c:v>0.85099999999999998</c:v>
                </c:pt>
                <c:pt idx="5">
                  <c:v>0.82699999999999996</c:v>
                </c:pt>
                <c:pt idx="6">
                  <c:v>0.80100000000000005</c:v>
                </c:pt>
                <c:pt idx="7">
                  <c:v>0.76900000000000002</c:v>
                </c:pt>
                <c:pt idx="8">
                  <c:v>0.73899999999999999</c:v>
                </c:pt>
                <c:pt idx="9">
                  <c:v>0.71099999999999997</c:v>
                </c:pt>
                <c:pt idx="10">
                  <c:v>0.68200000000000005</c:v>
                </c:pt>
                <c:pt idx="11">
                  <c:v>0.65400000000000003</c:v>
                </c:pt>
                <c:pt idx="12">
                  <c:v>0.629</c:v>
                </c:pt>
                <c:pt idx="13">
                  <c:v>0.60699999999999998</c:v>
                </c:pt>
                <c:pt idx="14">
                  <c:v>0.58499999999999996</c:v>
                </c:pt>
                <c:pt idx="15">
                  <c:v>0.56399999999999995</c:v>
                </c:pt>
                <c:pt idx="16">
                  <c:v>0.54500000000000004</c:v>
                </c:pt>
                <c:pt idx="17">
                  <c:v>0.52700000000000002</c:v>
                </c:pt>
                <c:pt idx="18">
                  <c:v>0.50800000000000001</c:v>
                </c:pt>
                <c:pt idx="19">
                  <c:v>0.49099999999999999</c:v>
                </c:pt>
                <c:pt idx="20">
                  <c:v>0.47399999999999998</c:v>
                </c:pt>
                <c:pt idx="21">
                  <c:v>0.45700000000000002</c:v>
                </c:pt>
                <c:pt idx="22">
                  <c:v>0.441</c:v>
                </c:pt>
                <c:pt idx="23">
                  <c:v>0.42499999999999999</c:v>
                </c:pt>
                <c:pt idx="24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67B-43F5-8667-5454D8E90EE3}"/>
            </c:ext>
          </c:extLst>
        </c:ser>
        <c:ser>
          <c:idx val="0"/>
          <c:order val="1"/>
          <c:tx>
            <c:strRef>
              <c:f>Лист2!$D$2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Лист2!$A$3:$A$27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Лист2!$D$3:$D$27</c:f>
              <c:numCache>
                <c:formatCode>General</c:formatCode>
                <c:ptCount val="25"/>
                <c:pt idx="0">
                  <c:v>1</c:v>
                </c:pt>
                <c:pt idx="1">
                  <c:v>0.96199999999999997</c:v>
                </c:pt>
                <c:pt idx="2">
                  <c:v>0.92600000000000005</c:v>
                </c:pt>
                <c:pt idx="3">
                  <c:v>0.90100000000000002</c:v>
                </c:pt>
                <c:pt idx="4">
                  <c:v>0.88</c:v>
                </c:pt>
                <c:pt idx="5">
                  <c:v>0.86199999999999999</c:v>
                </c:pt>
                <c:pt idx="6">
                  <c:v>0.84</c:v>
                </c:pt>
                <c:pt idx="7">
                  <c:v>0.81399999999999995</c:v>
                </c:pt>
                <c:pt idx="8">
                  <c:v>0.78800000000000003</c:v>
                </c:pt>
                <c:pt idx="9">
                  <c:v>0.76400000000000001</c:v>
                </c:pt>
                <c:pt idx="10">
                  <c:v>0.74</c:v>
                </c:pt>
                <c:pt idx="11">
                  <c:v>0.71599999999999997</c:v>
                </c:pt>
                <c:pt idx="12">
                  <c:v>0.69399999999999995</c:v>
                </c:pt>
                <c:pt idx="13">
                  <c:v>0.67100000000000004</c:v>
                </c:pt>
                <c:pt idx="14">
                  <c:v>0.65500000000000003</c:v>
                </c:pt>
                <c:pt idx="15">
                  <c:v>0.63700000000000001</c:v>
                </c:pt>
                <c:pt idx="16">
                  <c:v>0.61899999999999999</c:v>
                </c:pt>
                <c:pt idx="17">
                  <c:v>0.60199999999999998</c:v>
                </c:pt>
                <c:pt idx="18">
                  <c:v>0.58399999999999996</c:v>
                </c:pt>
                <c:pt idx="19">
                  <c:v>0.56799999999999995</c:v>
                </c:pt>
                <c:pt idx="20">
                  <c:v>0.55200000000000005</c:v>
                </c:pt>
                <c:pt idx="21">
                  <c:v>0.53600000000000003</c:v>
                </c:pt>
                <c:pt idx="22">
                  <c:v>0.52100000000000002</c:v>
                </c:pt>
                <c:pt idx="23">
                  <c:v>0.505</c:v>
                </c:pt>
                <c:pt idx="24">
                  <c:v>0.49099999999999999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67B-43F5-8667-5454D8E90EE3}"/>
            </c:ext>
          </c:extLst>
        </c:ser>
        <c:ser>
          <c:idx val="2"/>
          <c:order val="2"/>
          <c:tx>
            <c:strRef>
              <c:f>Лист2!$F$2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numRef>
              <c:f>Лист2!$A$3:$A$27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Лист2!$F$3:$F$27</c:f>
              <c:numCache>
                <c:formatCode>General</c:formatCode>
                <c:ptCount val="25"/>
                <c:pt idx="0">
                  <c:v>1</c:v>
                </c:pt>
                <c:pt idx="1">
                  <c:v>0.97399999999999998</c:v>
                </c:pt>
                <c:pt idx="2">
                  <c:v>0.94899999999999995</c:v>
                </c:pt>
                <c:pt idx="3">
                  <c:v>0.92900000000000005</c:v>
                </c:pt>
                <c:pt idx="4">
                  <c:v>0.91300000000000003</c:v>
                </c:pt>
                <c:pt idx="5">
                  <c:v>0.89700000000000002</c:v>
                </c:pt>
                <c:pt idx="6">
                  <c:v>0.879</c:v>
                </c:pt>
                <c:pt idx="7">
                  <c:v>0.85899999999999999</c:v>
                </c:pt>
                <c:pt idx="8">
                  <c:v>0.83899999999999997</c:v>
                </c:pt>
                <c:pt idx="9">
                  <c:v>0.81899999999999995</c:v>
                </c:pt>
                <c:pt idx="10">
                  <c:v>0.8</c:v>
                </c:pt>
                <c:pt idx="11">
                  <c:v>0.78200000000000003</c:v>
                </c:pt>
                <c:pt idx="12">
                  <c:v>0.76400000000000001</c:v>
                </c:pt>
                <c:pt idx="13">
                  <c:v>0.746</c:v>
                </c:pt>
                <c:pt idx="14">
                  <c:v>0.72899999999999998</c:v>
                </c:pt>
                <c:pt idx="15">
                  <c:v>0.71299999999999997</c:v>
                </c:pt>
                <c:pt idx="16">
                  <c:v>0.69699999999999995</c:v>
                </c:pt>
                <c:pt idx="17">
                  <c:v>0.68200000000000005</c:v>
                </c:pt>
                <c:pt idx="18">
                  <c:v>0.66700000000000004</c:v>
                </c:pt>
                <c:pt idx="19">
                  <c:v>0.65300000000000002</c:v>
                </c:pt>
                <c:pt idx="20">
                  <c:v>0.63900000000000001</c:v>
                </c:pt>
                <c:pt idx="21">
                  <c:v>0.623</c:v>
                </c:pt>
                <c:pt idx="22">
                  <c:v>0.60799999999999998</c:v>
                </c:pt>
                <c:pt idx="23">
                  <c:v>0.59299999999999997</c:v>
                </c:pt>
                <c:pt idx="24">
                  <c:v>0.57899999999999996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67B-43F5-8667-5454D8E90EE3}"/>
            </c:ext>
          </c:extLst>
        </c:ser>
        <c:ser>
          <c:idx val="4"/>
          <c:order val="4"/>
          <c:tx>
            <c:strRef>
              <c:f>Лист2!$H$2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Лист2!$H$3:$H$27</c:f>
              <c:numCache>
                <c:formatCode>General</c:formatCode>
                <c:ptCount val="25"/>
                <c:pt idx="0">
                  <c:v>1</c:v>
                </c:pt>
                <c:pt idx="1">
                  <c:v>0.96364044430128626</c:v>
                </c:pt>
                <c:pt idx="2">
                  <c:v>0.92860290589318029</c:v>
                </c:pt>
                <c:pt idx="3">
                  <c:v>0.89483931681436979</c:v>
                </c:pt>
                <c:pt idx="4">
                  <c:v>0.86230335683325876</c:v>
                </c:pt>
                <c:pt idx="5">
                  <c:v>0.830950389901292</c:v>
                </c:pt>
                <c:pt idx="6">
                  <c:v>0.80073740291680806</c:v>
                </c:pt>
                <c:pt idx="7">
                  <c:v>0.77162294671541098</c:v>
                </c:pt>
                <c:pt idx="8">
                  <c:v>0.74356707920590637</c:v>
                </c:pt>
                <c:pt idx="9">
                  <c:v>0.71653131057378927</c:v>
                </c:pt>
                <c:pt idx="10">
                  <c:v>0.69047855047710915</c:v>
                </c:pt>
                <c:pt idx="11">
                  <c:v>0.66537305716226958</c:v>
                </c:pt>
                <c:pt idx="12">
                  <c:v>0.64118038842995462</c:v>
                </c:pt>
                <c:pt idx="13">
                  <c:v>0.61786735438391271</c:v>
                </c:pt>
                <c:pt idx="14">
                  <c:v>0.59540197189777389</c:v>
                </c:pt>
                <c:pt idx="15">
                  <c:v>0.57375342073743274</c:v>
                </c:pt>
                <c:pt idx="16">
                  <c:v>0.55289200127880256</c:v>
                </c:pt>
                <c:pt idx="17">
                  <c:v>0.5327890937629326</c:v>
                </c:pt>
                <c:pt idx="18">
                  <c:v>0.51341711903259202</c:v>
                </c:pt>
                <c:pt idx="19">
                  <c:v>0.49474950069645335</c:v>
                </c:pt>
                <c:pt idx="20">
                  <c:v>0.47676062866896984</c:v>
                </c:pt>
                <c:pt idx="21">
                  <c:v>0.45942582403592663</c:v>
                </c:pt>
                <c:pt idx="22">
                  <c:v>0.44272130519746489</c:v>
                </c:pt>
                <c:pt idx="23">
                  <c:v>0.42662415524213038</c:v>
                </c:pt>
                <c:pt idx="24">
                  <c:v>0.41111229050718745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67B-43F5-8667-5454D8E90EE3}"/>
            </c:ext>
          </c:extLst>
        </c:ser>
        <c:ser>
          <c:idx val="6"/>
          <c:order val="5"/>
          <c:tx>
            <c:strRef>
              <c:f>Лист2!$I$2</c:f>
              <c:strCache>
                <c:ptCount val="1"/>
                <c:pt idx="0">
                  <c:v>G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Лист2!$I$3:$I$27</c:f>
              <c:numCache>
                <c:formatCode>General</c:formatCode>
                <c:ptCount val="25"/>
                <c:pt idx="0">
                  <c:v>1</c:v>
                </c:pt>
                <c:pt idx="1">
                  <c:v>0.97101655179243718</c:v>
                </c:pt>
                <c:pt idx="2">
                  <c:v>0.94287314385487497</c:v>
                </c:pt>
                <c:pt idx="3">
                  <c:v>0.91554542892365531</c:v>
                </c:pt>
                <c:pt idx="4">
                  <c:v>0.88900976540277565</c:v>
                </c:pt>
                <c:pt idx="5">
                  <c:v>0.86324319691120677</c:v>
                </c:pt>
                <c:pt idx="6">
                  <c:v>0.8382234324229999</c:v>
                </c:pt>
                <c:pt idx="7">
                  <c:v>0.8139288269830024</c:v>
                </c:pt>
                <c:pt idx="8">
                  <c:v>0.79033836298149818</c:v>
                </c:pt>
                <c:pt idx="9">
                  <c:v>0.76743163197157405</c:v>
                </c:pt>
                <c:pt idx="10">
                  <c:v>0.7451888170134805</c:v>
                </c:pt>
                <c:pt idx="11">
                  <c:v>0.72359067553071532</c:v>
                </c:pt>
                <c:pt idx="12">
                  <c:v>0.70261852266299551</c:v>
                </c:pt>
                <c:pt idx="13">
                  <c:v>0.68225421510171835</c:v>
                </c:pt>
                <c:pt idx="14">
                  <c:v>0.66248013539392625</c:v>
                </c:pt>
                <c:pt idx="15">
                  <c:v>0.64327917670119716</c:v>
                </c:pt>
                <c:pt idx="16">
                  <c:v>0.62463472800027442</c:v>
                </c:pt>
                <c:pt idx="17">
                  <c:v>0.60653065971263342</c:v>
                </c:pt>
                <c:pt idx="18">
                  <c:v>0.58895130975055343</c:v>
                </c:pt>
                <c:pt idx="19">
                  <c:v>0.57188146996762201</c:v>
                </c:pt>
                <c:pt idx="20">
                  <c:v>0.55530637300195052</c:v>
                </c:pt>
                <c:pt idx="21">
                  <c:v>0.53921167950071902</c:v>
                </c:pt>
                <c:pt idx="22">
                  <c:v>0.52358346571499692</c:v>
                </c:pt>
                <c:pt idx="23">
                  <c:v>0.50840821145411008</c:v>
                </c:pt>
                <c:pt idx="24">
                  <c:v>0.49367278838913031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67B-43F5-8667-5454D8E90EE3}"/>
            </c:ext>
          </c:extLst>
        </c:ser>
        <c:ser>
          <c:idx val="7"/>
          <c:order val="6"/>
          <c:tx>
            <c:strRef>
              <c:f>Лист2!$J$2</c:f>
              <c:strCache>
                <c:ptCount val="1"/>
                <c:pt idx="0">
                  <c:v>B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Лист2!$A$3:$A$27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Лист2!$J$3:$J$27</c:f>
              <c:numCache>
                <c:formatCode>General</c:formatCode>
                <c:ptCount val="25"/>
                <c:pt idx="0">
                  <c:v>1</c:v>
                </c:pt>
                <c:pt idx="1">
                  <c:v>0.97752904625299208</c:v>
                </c:pt>
                <c:pt idx="2">
                  <c:v>0.9555630362682842</c:v>
                </c:pt>
                <c:pt idx="3">
                  <c:v>0.93409062347794913</c:v>
                </c:pt>
                <c:pt idx="4">
                  <c:v>0.9131007162822623</c:v>
                </c:pt>
                <c:pt idx="5">
                  <c:v>0.89258247232032384</c:v>
                </c:pt>
                <c:pt idx="6">
                  <c:v>0.87252529286942382</c:v>
                </c:pt>
                <c:pt idx="7">
                  <c:v>0.85291881737026043</c:v>
                </c:pt>
                <c:pt idx="8">
                  <c:v>0.83375291807518059</c:v>
                </c:pt>
                <c:pt idx="9">
                  <c:v>0.81501769481668029</c:v>
                </c:pt>
                <c:pt idx="10">
                  <c:v>0.79670346989346164</c:v>
                </c:pt>
                <c:pt idx="11">
                  <c:v>0.77880078307140488</c:v>
                </c:pt>
                <c:pt idx="12">
                  <c:v>0.76130038669687372</c:v>
                </c:pt>
                <c:pt idx="13">
                  <c:v>0.74419324091982897</c:v>
                </c:pt>
                <c:pt idx="14">
                  <c:v>0.72747050902428356</c:v>
                </c:pt>
                <c:pt idx="15">
                  <c:v>0.71112355286368667</c:v>
                </c:pt>
                <c:pt idx="16">
                  <c:v>0.69514392839887873</c:v>
                </c:pt>
                <c:pt idx="17">
                  <c:v>0.67952338133631407</c:v>
                </c:pt>
                <c:pt idx="18">
                  <c:v>0.66425384286429534</c:v>
                </c:pt>
                <c:pt idx="19">
                  <c:v>0.64932742548501943</c:v>
                </c:pt>
                <c:pt idx="20">
                  <c:v>0.63473641894028188</c:v>
                </c:pt>
                <c:pt idx="21">
                  <c:v>0.62047328622873332</c:v>
                </c:pt>
                <c:pt idx="22">
                  <c:v>0.60653065971263342</c:v>
                </c:pt>
                <c:pt idx="23">
                  <c:v>0.59290133731208861</c:v>
                </c:pt>
                <c:pt idx="24">
                  <c:v>0.5795782787848095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67B-43F5-8667-5454D8E90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15232"/>
        <c:axId val="107711904"/>
        <c:extLst>
          <c:ext xmlns:c15="http://schemas.microsoft.com/office/drawing/2012/chart" uri="{02D57815-91ED-43cb-92C2-25804820EDAC}">
            <c15:filteredLine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Лист2!$G$2</c15:sqref>
                        </c15:formulaRef>
                      </c:ext>
                    </c:extLst>
                    <c:strCache>
                      <c:ptCount val="1"/>
                      <c:pt idx="0">
                        <c:v>1/e</c:v>
                      </c:pt>
                    </c:strCache>
                  </c:strRef>
                </c:tx>
                <c:spPr>
                  <a:ln w="317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Лист2!$A$3:$A$27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Лист2!$G$3:$G$27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0.36787944117144233</c:v>
                      </c:pt>
                      <c:pt idx="1">
                        <c:v>0.36787944117144233</c:v>
                      </c:pt>
                      <c:pt idx="2">
                        <c:v>0.36787944117144233</c:v>
                      </c:pt>
                      <c:pt idx="3">
                        <c:v>0.36787944117144233</c:v>
                      </c:pt>
                      <c:pt idx="4">
                        <c:v>0.36787944117144233</c:v>
                      </c:pt>
                      <c:pt idx="5">
                        <c:v>0.36787944117144233</c:v>
                      </c:pt>
                      <c:pt idx="6">
                        <c:v>0.36787944117144233</c:v>
                      </c:pt>
                      <c:pt idx="7">
                        <c:v>0.36787944117144233</c:v>
                      </c:pt>
                      <c:pt idx="8">
                        <c:v>0.36787944117144233</c:v>
                      </c:pt>
                      <c:pt idx="9">
                        <c:v>0.36787944117144233</c:v>
                      </c:pt>
                      <c:pt idx="10">
                        <c:v>0.36787944117144233</c:v>
                      </c:pt>
                      <c:pt idx="11">
                        <c:v>0.36787944117144233</c:v>
                      </c:pt>
                      <c:pt idx="12">
                        <c:v>0.36787944117144233</c:v>
                      </c:pt>
                      <c:pt idx="13">
                        <c:v>0.36787944117144233</c:v>
                      </c:pt>
                      <c:pt idx="14">
                        <c:v>0.36787944117144233</c:v>
                      </c:pt>
                      <c:pt idx="15">
                        <c:v>0.36787944117144233</c:v>
                      </c:pt>
                      <c:pt idx="16">
                        <c:v>0.36787944117144233</c:v>
                      </c:pt>
                      <c:pt idx="17">
                        <c:v>0.36787944117144233</c:v>
                      </c:pt>
                      <c:pt idx="18">
                        <c:v>0.36787944117144233</c:v>
                      </c:pt>
                      <c:pt idx="19">
                        <c:v>0.36787944117144233</c:v>
                      </c:pt>
                      <c:pt idx="20">
                        <c:v>0.36787944117144233</c:v>
                      </c:pt>
                      <c:pt idx="21">
                        <c:v>0.36787944117144233</c:v>
                      </c:pt>
                      <c:pt idx="22">
                        <c:v>0.36787944117144233</c:v>
                      </c:pt>
                      <c:pt idx="23">
                        <c:v>0.36787944117144233</c:v>
                      </c:pt>
                      <c:pt idx="24">
                        <c:v>0.36787944117144233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B-967B-43F5-8667-5454D8E90EE3}"/>
                  </c:ext>
                </c:extLst>
              </c15:ser>
            </c15:filteredLineSeries>
          </c:ext>
        </c:extLst>
      </c:lineChart>
      <c:catAx>
        <c:axId val="10771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11904"/>
        <c:crosses val="autoZero"/>
        <c:auto val="1"/>
        <c:lblAlgn val="ctr"/>
        <c:lblOffset val="100"/>
        <c:noMultiLvlLbl val="0"/>
      </c:catAx>
      <c:valAx>
        <c:axId val="1077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1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Лист2!$B$30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Лист2!$A$31:$A$55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</c:numCache>
            </c:numRef>
          </c:cat>
          <c:val>
            <c:numRef>
              <c:f>Лист2!$B$31:$B$55</c:f>
              <c:numCache>
                <c:formatCode>General</c:formatCode>
                <c:ptCount val="25"/>
                <c:pt idx="0">
                  <c:v>1</c:v>
                </c:pt>
                <c:pt idx="1">
                  <c:v>0.872</c:v>
                </c:pt>
                <c:pt idx="2">
                  <c:v>0.78700000000000003</c:v>
                </c:pt>
                <c:pt idx="3">
                  <c:v>0.70299999999999996</c:v>
                </c:pt>
                <c:pt idx="4">
                  <c:v>0.63</c:v>
                </c:pt>
                <c:pt idx="5">
                  <c:v>0.55000000000000004</c:v>
                </c:pt>
                <c:pt idx="6">
                  <c:v>0.49099999999999999</c:v>
                </c:pt>
                <c:pt idx="7">
                  <c:v>0.44400000000000001</c:v>
                </c:pt>
                <c:pt idx="8">
                  <c:v>0.39300000000000002</c:v>
                </c:pt>
                <c:pt idx="9">
                  <c:v>0.34699999999999998</c:v>
                </c:pt>
                <c:pt idx="10">
                  <c:v>0.29899999999999999</c:v>
                </c:pt>
                <c:pt idx="11">
                  <c:v>0.245</c:v>
                </c:pt>
                <c:pt idx="12">
                  <c:v>0.19500000000000001</c:v>
                </c:pt>
                <c:pt idx="13">
                  <c:v>0.154</c:v>
                </c:pt>
                <c:pt idx="14">
                  <c:v>0.112</c:v>
                </c:pt>
                <c:pt idx="15">
                  <c:v>7.8E-2</c:v>
                </c:pt>
                <c:pt idx="16">
                  <c:v>5.1999999999999998E-2</c:v>
                </c:pt>
                <c:pt idx="17">
                  <c:v>2.8000000000000001E-2</c:v>
                </c:pt>
                <c:pt idx="18">
                  <c:v>8.0000000000000002E-3</c:v>
                </c:pt>
                <c:pt idx="19">
                  <c:v>-1.2E-2</c:v>
                </c:pt>
                <c:pt idx="20">
                  <c:v>-2.7E-2</c:v>
                </c:pt>
                <c:pt idx="21">
                  <c:v>-4.3999999999999997E-2</c:v>
                </c:pt>
                <c:pt idx="22">
                  <c:v>-6.4000000000000001E-2</c:v>
                </c:pt>
                <c:pt idx="23">
                  <c:v>-6.4000000000000001E-2</c:v>
                </c:pt>
                <c:pt idx="24">
                  <c:v>-5.7000000000000002E-2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A-4427-871F-BEC96E2F01F2}"/>
            </c:ext>
          </c:extLst>
        </c:ser>
        <c:ser>
          <c:idx val="2"/>
          <c:order val="1"/>
          <c:tx>
            <c:strRef>
              <c:f>Лист2!$D$30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Лист2!$A$31:$A$55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</c:numCache>
            </c:numRef>
          </c:cat>
          <c:val>
            <c:numRef>
              <c:f>Лист2!$D$31:$D$55</c:f>
              <c:numCache>
                <c:formatCode>General</c:formatCode>
                <c:ptCount val="25"/>
                <c:pt idx="0">
                  <c:v>1</c:v>
                </c:pt>
                <c:pt idx="1">
                  <c:v>0.9</c:v>
                </c:pt>
                <c:pt idx="2">
                  <c:v>0.81499999999999995</c:v>
                </c:pt>
                <c:pt idx="3">
                  <c:v>0.73899999999999999</c:v>
                </c:pt>
                <c:pt idx="4">
                  <c:v>0.66800000000000004</c:v>
                </c:pt>
                <c:pt idx="5">
                  <c:v>0.59099999999999997</c:v>
                </c:pt>
                <c:pt idx="6">
                  <c:v>0.53100000000000003</c:v>
                </c:pt>
                <c:pt idx="7">
                  <c:v>0.48699999999999999</c:v>
                </c:pt>
                <c:pt idx="8">
                  <c:v>0.443</c:v>
                </c:pt>
                <c:pt idx="9">
                  <c:v>0.40200000000000002</c:v>
                </c:pt>
                <c:pt idx="10">
                  <c:v>0.35799999999999998</c:v>
                </c:pt>
                <c:pt idx="11">
                  <c:v>0.313</c:v>
                </c:pt>
                <c:pt idx="12">
                  <c:v>0.27100000000000002</c:v>
                </c:pt>
                <c:pt idx="13">
                  <c:v>0.23100000000000001</c:v>
                </c:pt>
                <c:pt idx="14">
                  <c:v>0.20200000000000001</c:v>
                </c:pt>
                <c:pt idx="15">
                  <c:v>0.153</c:v>
                </c:pt>
                <c:pt idx="16">
                  <c:v>0.123</c:v>
                </c:pt>
                <c:pt idx="17">
                  <c:v>9.7000000000000003E-2</c:v>
                </c:pt>
                <c:pt idx="18">
                  <c:v>7.0999999999999994E-2</c:v>
                </c:pt>
                <c:pt idx="19">
                  <c:v>4.9000000000000002E-2</c:v>
                </c:pt>
                <c:pt idx="20">
                  <c:v>3.1E-2</c:v>
                </c:pt>
                <c:pt idx="21">
                  <c:v>8.9999999999999993E-3</c:v>
                </c:pt>
                <c:pt idx="22">
                  <c:v>-1.4E-2</c:v>
                </c:pt>
                <c:pt idx="23">
                  <c:v>-2.8000000000000001E-2</c:v>
                </c:pt>
                <c:pt idx="24">
                  <c:v>-2.8000000000000001E-2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3A-4427-871F-BEC96E2F01F2}"/>
            </c:ext>
          </c:extLst>
        </c:ser>
        <c:ser>
          <c:idx val="1"/>
          <c:order val="2"/>
          <c:tx>
            <c:strRef>
              <c:f>Лист2!$F$30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Лист2!$A$31:$A$55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</c:numCache>
            </c:numRef>
          </c:cat>
          <c:val>
            <c:numRef>
              <c:f>Лист2!$F$31:$F$55</c:f>
              <c:numCache>
                <c:formatCode>General</c:formatCode>
                <c:ptCount val="25"/>
                <c:pt idx="0">
                  <c:v>1</c:v>
                </c:pt>
                <c:pt idx="1">
                  <c:v>0.91600000000000004</c:v>
                </c:pt>
                <c:pt idx="2">
                  <c:v>0.82699999999999996</c:v>
                </c:pt>
                <c:pt idx="3">
                  <c:v>0.749</c:v>
                </c:pt>
                <c:pt idx="4">
                  <c:v>0.68200000000000005</c:v>
                </c:pt>
                <c:pt idx="5">
                  <c:v>0.60099999999999998</c:v>
                </c:pt>
                <c:pt idx="6">
                  <c:v>0.54600000000000004</c:v>
                </c:pt>
                <c:pt idx="7">
                  <c:v>0.501</c:v>
                </c:pt>
                <c:pt idx="8">
                  <c:v>0.45900000000000002</c:v>
                </c:pt>
                <c:pt idx="9">
                  <c:v>0.41699999999999998</c:v>
                </c:pt>
                <c:pt idx="10">
                  <c:v>0.375</c:v>
                </c:pt>
                <c:pt idx="11">
                  <c:v>0.33500000000000002</c:v>
                </c:pt>
                <c:pt idx="12">
                  <c:v>0.29599999999999999</c:v>
                </c:pt>
                <c:pt idx="13">
                  <c:v>0.25800000000000001</c:v>
                </c:pt>
                <c:pt idx="14">
                  <c:v>0.224</c:v>
                </c:pt>
                <c:pt idx="15">
                  <c:v>0.182</c:v>
                </c:pt>
                <c:pt idx="16">
                  <c:v>0.153</c:v>
                </c:pt>
                <c:pt idx="17">
                  <c:v>0.126</c:v>
                </c:pt>
                <c:pt idx="18">
                  <c:v>0.10100000000000001</c:v>
                </c:pt>
                <c:pt idx="19">
                  <c:v>8.1000000000000003E-2</c:v>
                </c:pt>
                <c:pt idx="20">
                  <c:v>6.3E-2</c:v>
                </c:pt>
                <c:pt idx="21">
                  <c:v>4.3999999999999997E-2</c:v>
                </c:pt>
                <c:pt idx="22">
                  <c:v>1.4E-2</c:v>
                </c:pt>
                <c:pt idx="23">
                  <c:v>4.0000000000000001E-3</c:v>
                </c:pt>
                <c:pt idx="24">
                  <c:v>-1.0999999999999999E-2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3A-4427-871F-BEC96E2F01F2}"/>
            </c:ext>
          </c:extLst>
        </c:ser>
        <c:ser>
          <c:idx val="6"/>
          <c:order val="4"/>
          <c:tx>
            <c:strRef>
              <c:f>Лист2!$H$30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Лист2!$A$31:$A$55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</c:numCache>
            </c:numRef>
          </c:cat>
          <c:val>
            <c:numRef>
              <c:f>Лист2!$H$31:$H$55</c:f>
              <c:numCache>
                <c:formatCode>General</c:formatCode>
                <c:ptCount val="25"/>
                <c:pt idx="0">
                  <c:v>1</c:v>
                </c:pt>
                <c:pt idx="1">
                  <c:v>0.89483931681436979</c:v>
                </c:pt>
                <c:pt idx="2">
                  <c:v>0.80073740291680806</c:v>
                </c:pt>
                <c:pt idx="3">
                  <c:v>0.71653131057378927</c:v>
                </c:pt>
                <c:pt idx="4">
                  <c:v>0.64118038842995462</c:v>
                </c:pt>
                <c:pt idx="5">
                  <c:v>0.57375342073743274</c:v>
                </c:pt>
                <c:pt idx="6">
                  <c:v>0.51341711903259202</c:v>
                </c:pt>
                <c:pt idx="7">
                  <c:v>0.45942582403592663</c:v>
                </c:pt>
                <c:pt idx="8">
                  <c:v>0.41111229050718745</c:v>
                </c:pt>
                <c:pt idx="9">
                  <c:v>0.36787944117144233</c:v>
                </c:pt>
                <c:pt idx="10">
                  <c:v>0.32919298780790557</c:v>
                </c:pt>
                <c:pt idx="11">
                  <c:v>0.29457482831010734</c:v>
                </c:pt>
                <c:pt idx="12">
                  <c:v>0.26359713811572677</c:v>
                </c:pt>
                <c:pt idx="13">
                  <c:v>0.23587708298570001</c:v>
                </c:pt>
                <c:pt idx="14">
                  <c:v>0.21107208779109021</c:v>
                </c:pt>
                <c:pt idx="15">
                  <c:v>0.18887560283756183</c:v>
                </c:pt>
                <c:pt idx="16">
                  <c:v>0.16901331540606609</c:v>
                </c:pt>
                <c:pt idx="17">
                  <c:v>0.15123975969049577</c:v>
                </c:pt>
                <c:pt idx="18">
                  <c:v>0.1353352832366127</c:v>
                </c:pt>
                <c:pt idx="19">
                  <c:v>0.12110333239232973</c:v>
                </c:pt>
                <c:pt idx="20">
                  <c:v>0.10836802322189586</c:v>
                </c:pt>
                <c:pt idx="21">
                  <c:v>9.6971967864405054E-2</c:v>
                </c:pt>
                <c:pt idx="22">
                  <c:v>8.6774329473929226E-2</c:v>
                </c:pt>
                <c:pt idx="23">
                  <c:v>7.7649081703475897E-2</c:v>
                </c:pt>
                <c:pt idx="24">
                  <c:v>6.9483451222801543E-2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3A-4427-871F-BEC96E2F01F2}"/>
            </c:ext>
          </c:extLst>
        </c:ser>
        <c:ser>
          <c:idx val="7"/>
          <c:order val="5"/>
          <c:tx>
            <c:strRef>
              <c:f>Лист2!$I$30</c:f>
              <c:strCache>
                <c:ptCount val="1"/>
                <c:pt idx="0">
                  <c:v>G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Лист2!$A$31:$A$55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</c:numCache>
            </c:numRef>
          </c:cat>
          <c:val>
            <c:numRef>
              <c:f>Лист2!$I$31:$I$55</c:f>
              <c:numCache>
                <c:formatCode>General</c:formatCode>
                <c:ptCount val="25"/>
                <c:pt idx="0">
                  <c:v>1</c:v>
                </c:pt>
                <c:pt idx="1">
                  <c:v>0.90704703212369453</c:v>
                </c:pt>
                <c:pt idx="2">
                  <c:v>0.82273431848440248</c:v>
                </c:pt>
                <c:pt idx="3">
                  <c:v>0.74625872180758768</c:v>
                </c:pt>
                <c:pt idx="4">
                  <c:v>0.67689175881199415</c:v>
                </c:pt>
                <c:pt idx="5">
                  <c:v>0.61397266089940694</c:v>
                </c:pt>
                <c:pt idx="6">
                  <c:v>0.55690207987389462</c:v>
                </c:pt>
                <c:pt idx="7">
                  <c:v>0.50513637873312867</c:v>
                </c:pt>
                <c:pt idx="8">
                  <c:v>0.45818245314759493</c:v>
                </c:pt>
                <c:pt idx="9">
                  <c:v>0.41559303429867966</c:v>
                </c:pt>
                <c:pt idx="10">
                  <c:v>0.37696242833189819</c:v>
                </c:pt>
                <c:pt idx="11">
                  <c:v>0.34192265184058912</c:v>
                </c:pt>
                <c:pt idx="12">
                  <c:v>0.31013992656786965</c:v>
                </c:pt>
                <c:pt idx="13">
                  <c:v>0.28131149993644672</c:v>
                </c:pt>
                <c:pt idx="14">
                  <c:v>0.25516276111961883</c:v>
                </c:pt>
                <c:pt idx="15">
                  <c:v>0.23144462518203751</c:v>
                </c:pt>
                <c:pt idx="16">
                  <c:v>0.20993116037234799</c:v>
                </c:pt>
                <c:pt idx="17">
                  <c:v>0.19041743596602162</c:v>
                </c:pt>
                <c:pt idx="18">
                  <c:v>0.17271757015758354</c:v>
                </c:pt>
                <c:pt idx="19">
                  <c:v>0.15666295940705213</c:v>
                </c:pt>
                <c:pt idx="20">
                  <c:v>0.14210067237388146</c:v>
                </c:pt>
                <c:pt idx="21">
                  <c:v>0.12889199313951064</c:v>
                </c:pt>
                <c:pt idx="22">
                  <c:v>0.11691109984170071</c:v>
                </c:pt>
                <c:pt idx="23">
                  <c:v>0.10604386613373155</c:v>
                </c:pt>
                <c:pt idx="24">
                  <c:v>9.6186774051523594E-2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3A-4427-871F-BEC96E2F01F2}"/>
            </c:ext>
          </c:extLst>
        </c:ser>
        <c:ser>
          <c:idx val="3"/>
          <c:order val="6"/>
          <c:tx>
            <c:strRef>
              <c:f>Лист2!$J$30</c:f>
              <c:strCache>
                <c:ptCount val="1"/>
                <c:pt idx="0">
                  <c:v>B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Лист2!$A$31:$A$55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</c:numCache>
            </c:numRef>
          </c:cat>
          <c:val>
            <c:numRef>
              <c:f>Лист2!$J$31:$J$55</c:f>
              <c:numCache>
                <c:formatCode>General</c:formatCode>
                <c:ptCount val="25"/>
                <c:pt idx="0">
                  <c:v>1</c:v>
                </c:pt>
                <c:pt idx="1">
                  <c:v>0.90915644287671304</c:v>
                </c:pt>
                <c:pt idx="2">
                  <c:v>0.82656543762423806</c:v>
                </c:pt>
                <c:pt idx="3">
                  <c:v>0.75147729307528599</c:v>
                </c:pt>
                <c:pt idx="4">
                  <c:v>0.68321042267494825</c:v>
                </c:pt>
                <c:pt idx="5">
                  <c:v>0.62114515761545153</c:v>
                </c:pt>
                <c:pt idx="6">
                  <c:v>0.56471812200775928</c:v>
                </c:pt>
                <c:pt idx="7">
                  <c:v>0.51341711903259202</c:v>
                </c:pt>
                <c:pt idx="8">
                  <c:v>0.4667764816516814</c:v>
                </c:pt>
                <c:pt idx="9">
                  <c:v>0.42437284567694999</c:v>
                </c:pt>
                <c:pt idx="10">
                  <c:v>0.38582130682912413</c:v>
                </c:pt>
                <c:pt idx="11">
                  <c:v>0.35077192690281139</c:v>
                </c:pt>
                <c:pt idx="12">
                  <c:v>0.31890655732397044</c:v>
                </c:pt>
                <c:pt idx="13">
                  <c:v>0.2899359512667195</c:v>
                </c:pt>
                <c:pt idx="14">
                  <c:v>0.26359713811572677</c:v>
                </c:pt>
                <c:pt idx="15">
                  <c:v>0.23965103644177579</c:v>
                </c:pt>
                <c:pt idx="16">
                  <c:v>0.21788028382312244</c:v>
                </c:pt>
                <c:pt idx="17">
                  <c:v>0.19808726381359862</c:v>
                </c:pt>
                <c:pt idx="18">
                  <c:v>0.1800923121479524</c:v>
                </c:pt>
                <c:pt idx="19">
                  <c:v>0.16373208590187505</c:v>
                </c:pt>
                <c:pt idx="20">
                  <c:v>0.14885808080333315</c:v>
                </c:pt>
                <c:pt idx="21">
                  <c:v>0.1353352832366127</c:v>
                </c:pt>
                <c:pt idx="22">
                  <c:v>0.12304094470311124</c:v>
                </c:pt>
                <c:pt idx="23">
                  <c:v>0.11186346761447095</c:v>
                </c:pt>
                <c:pt idx="24">
                  <c:v>0.10170139230422684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3A-4427-871F-BEC96E2F0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15232"/>
        <c:axId val="107711904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Лист2!$G$30</c15:sqref>
                        </c15:formulaRef>
                      </c:ext>
                    </c:extLst>
                    <c:strCache>
                      <c:ptCount val="1"/>
                      <c:pt idx="0">
                        <c:v>1/e</c:v>
                      </c:pt>
                    </c:strCache>
                  </c:strRef>
                </c:tx>
                <c:spPr>
                  <a:ln w="317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Лист2!$A$31:$A$55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Лист2!$G$31:$G$55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0.36787944117144233</c:v>
                      </c:pt>
                      <c:pt idx="1">
                        <c:v>0.36787944117144233</c:v>
                      </c:pt>
                      <c:pt idx="2">
                        <c:v>0.36787944117144233</c:v>
                      </c:pt>
                      <c:pt idx="3">
                        <c:v>0.36787944117144233</c:v>
                      </c:pt>
                      <c:pt idx="4">
                        <c:v>0.36787944117144233</c:v>
                      </c:pt>
                      <c:pt idx="5">
                        <c:v>0.36787944117144233</c:v>
                      </c:pt>
                      <c:pt idx="6">
                        <c:v>0.36787944117144233</c:v>
                      </c:pt>
                      <c:pt idx="7">
                        <c:v>0.36787944117144233</c:v>
                      </c:pt>
                      <c:pt idx="8">
                        <c:v>0.36787944117144233</c:v>
                      </c:pt>
                      <c:pt idx="9">
                        <c:v>0.36787944117144233</c:v>
                      </c:pt>
                      <c:pt idx="10">
                        <c:v>0.36787944117144233</c:v>
                      </c:pt>
                      <c:pt idx="11">
                        <c:v>0.36787944117144233</c:v>
                      </c:pt>
                      <c:pt idx="12">
                        <c:v>0.36787944117144233</c:v>
                      </c:pt>
                      <c:pt idx="13">
                        <c:v>0.36787944117144233</c:v>
                      </c:pt>
                      <c:pt idx="14">
                        <c:v>0.36787944117144233</c:v>
                      </c:pt>
                      <c:pt idx="15">
                        <c:v>0.36787944117144233</c:v>
                      </c:pt>
                      <c:pt idx="16">
                        <c:v>0.36787944117144233</c:v>
                      </c:pt>
                      <c:pt idx="17">
                        <c:v>0.36787944117144233</c:v>
                      </c:pt>
                      <c:pt idx="18">
                        <c:v>0.36787944117144233</c:v>
                      </c:pt>
                      <c:pt idx="19">
                        <c:v>0.36787944117144233</c:v>
                      </c:pt>
                      <c:pt idx="20">
                        <c:v>0.36787944117144233</c:v>
                      </c:pt>
                      <c:pt idx="21">
                        <c:v>0.36787944117144233</c:v>
                      </c:pt>
                      <c:pt idx="22">
                        <c:v>0.36787944117144233</c:v>
                      </c:pt>
                      <c:pt idx="23">
                        <c:v>0.36787944117144233</c:v>
                      </c:pt>
                      <c:pt idx="24">
                        <c:v>0.36787944117144233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D3A-4427-871F-BEC96E2F01F2}"/>
                  </c:ext>
                </c:extLst>
              </c15:ser>
            </c15:filteredLineSeries>
          </c:ext>
        </c:extLst>
      </c:lineChart>
      <c:catAx>
        <c:axId val="10771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11904"/>
        <c:crosses val="autoZero"/>
        <c:auto val="1"/>
        <c:lblAlgn val="ctr"/>
        <c:lblOffset val="100"/>
        <c:noMultiLvlLbl val="0"/>
      </c:catAx>
      <c:valAx>
        <c:axId val="1077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1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Лист2!$B$58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Лист2!$A$59:$A$83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Лист2!$B$59:$B$83</c:f>
              <c:numCache>
                <c:formatCode>General</c:formatCode>
                <c:ptCount val="25"/>
                <c:pt idx="0">
                  <c:v>1</c:v>
                </c:pt>
                <c:pt idx="1">
                  <c:v>0.83</c:v>
                </c:pt>
                <c:pt idx="2">
                  <c:v>0.70299999999999996</c:v>
                </c:pt>
                <c:pt idx="3">
                  <c:v>0.58899999999999997</c:v>
                </c:pt>
                <c:pt idx="4">
                  <c:v>0.49099999999999999</c:v>
                </c:pt>
                <c:pt idx="5">
                  <c:v>0.42</c:v>
                </c:pt>
                <c:pt idx="6">
                  <c:v>0.34699999999999998</c:v>
                </c:pt>
                <c:pt idx="7">
                  <c:v>0.27</c:v>
                </c:pt>
                <c:pt idx="8">
                  <c:v>0.19500000000000001</c:v>
                </c:pt>
                <c:pt idx="9">
                  <c:v>0.13</c:v>
                </c:pt>
                <c:pt idx="10">
                  <c:v>7.8E-2</c:v>
                </c:pt>
                <c:pt idx="11">
                  <c:v>0.04</c:v>
                </c:pt>
                <c:pt idx="12">
                  <c:v>8.0000000000000002E-3</c:v>
                </c:pt>
                <c:pt idx="13">
                  <c:v>-2.1999999999999999E-2</c:v>
                </c:pt>
                <c:pt idx="14">
                  <c:v>-4.8000000000000001E-2</c:v>
                </c:pt>
                <c:pt idx="15">
                  <c:v>-6.9000000000000006E-2</c:v>
                </c:pt>
                <c:pt idx="16">
                  <c:v>-5.7000000000000002E-2</c:v>
                </c:pt>
                <c:pt idx="17">
                  <c:v>-4.1000000000000002E-2</c:v>
                </c:pt>
                <c:pt idx="18">
                  <c:v>-3.5000000000000003E-2</c:v>
                </c:pt>
                <c:pt idx="19">
                  <c:v>-4.2000000000000003E-2</c:v>
                </c:pt>
                <c:pt idx="20">
                  <c:v>-4.9000000000000002E-2</c:v>
                </c:pt>
                <c:pt idx="21">
                  <c:v>-3.7999999999999999E-2</c:v>
                </c:pt>
                <c:pt idx="22">
                  <c:v>-0.03</c:v>
                </c:pt>
                <c:pt idx="23">
                  <c:v>-2.8000000000000001E-2</c:v>
                </c:pt>
                <c:pt idx="24">
                  <c:v>-0.03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3A-4427-871F-BEC96E2F01F2}"/>
            </c:ext>
          </c:extLst>
        </c:ser>
        <c:ser>
          <c:idx val="1"/>
          <c:order val="1"/>
          <c:tx>
            <c:strRef>
              <c:f>Лист2!$D$58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Лист2!$A$59:$A$83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Лист2!$D$59:$D$83</c:f>
              <c:numCache>
                <c:formatCode>General</c:formatCode>
                <c:ptCount val="25"/>
                <c:pt idx="0">
                  <c:v>1</c:v>
                </c:pt>
                <c:pt idx="1">
                  <c:v>0.85699999999999998</c:v>
                </c:pt>
                <c:pt idx="2">
                  <c:v>0.73899999999999999</c:v>
                </c:pt>
                <c:pt idx="3">
                  <c:v>0.629</c:v>
                </c:pt>
                <c:pt idx="4">
                  <c:v>0.53100000000000003</c:v>
                </c:pt>
                <c:pt idx="5">
                  <c:v>0.46600000000000003</c:v>
                </c:pt>
                <c:pt idx="6">
                  <c:v>0.40200000000000002</c:v>
                </c:pt>
                <c:pt idx="7">
                  <c:v>0.33400000000000002</c:v>
                </c:pt>
                <c:pt idx="8">
                  <c:v>0.27100000000000002</c:v>
                </c:pt>
                <c:pt idx="9">
                  <c:v>0.20899999999999999</c:v>
                </c:pt>
                <c:pt idx="10">
                  <c:v>0.153</c:v>
                </c:pt>
                <c:pt idx="11">
                  <c:v>0.11</c:v>
                </c:pt>
                <c:pt idx="12">
                  <c:v>7.0999999999999994E-2</c:v>
                </c:pt>
                <c:pt idx="13">
                  <c:v>3.7999999999999999E-2</c:v>
                </c:pt>
                <c:pt idx="14">
                  <c:v>8.9999999999999993E-3</c:v>
                </c:pt>
                <c:pt idx="15">
                  <c:v>-2.4E-2</c:v>
                </c:pt>
                <c:pt idx="16">
                  <c:v>-2.8000000000000001E-2</c:v>
                </c:pt>
                <c:pt idx="17">
                  <c:v>-2.1999999999999999E-2</c:v>
                </c:pt>
                <c:pt idx="18">
                  <c:v>-1.7999999999999999E-2</c:v>
                </c:pt>
                <c:pt idx="19">
                  <c:v>-1.4999999999999999E-2</c:v>
                </c:pt>
                <c:pt idx="20">
                  <c:v>-1.4E-2</c:v>
                </c:pt>
                <c:pt idx="21">
                  <c:v>-1.0999999999999999E-2</c:v>
                </c:pt>
                <c:pt idx="22">
                  <c:v>-8.9999999999999993E-3</c:v>
                </c:pt>
                <c:pt idx="23">
                  <c:v>-1.2999999999999999E-2</c:v>
                </c:pt>
                <c:pt idx="24">
                  <c:v>-1.7000000000000001E-2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3D-48DC-8038-1FD131B62750}"/>
            </c:ext>
          </c:extLst>
        </c:ser>
        <c:ser>
          <c:idx val="3"/>
          <c:order val="2"/>
          <c:tx>
            <c:strRef>
              <c:f>Лист2!$F$58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Лист2!$A$59:$A$83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Лист2!$F$59:$F$83</c:f>
              <c:numCache>
                <c:formatCode>General</c:formatCode>
                <c:ptCount val="25"/>
                <c:pt idx="0">
                  <c:v>1</c:v>
                </c:pt>
                <c:pt idx="1">
                  <c:v>0.871</c:v>
                </c:pt>
                <c:pt idx="2">
                  <c:v>0.749</c:v>
                </c:pt>
                <c:pt idx="3">
                  <c:v>0.64500000000000002</c:v>
                </c:pt>
                <c:pt idx="4">
                  <c:v>0.54600000000000004</c:v>
                </c:pt>
                <c:pt idx="5">
                  <c:v>0.48</c:v>
                </c:pt>
                <c:pt idx="6">
                  <c:v>0.41699999999999998</c:v>
                </c:pt>
                <c:pt idx="7">
                  <c:v>0.35399999999999998</c:v>
                </c:pt>
                <c:pt idx="8">
                  <c:v>0.29599999999999999</c:v>
                </c:pt>
                <c:pt idx="9">
                  <c:v>0.23599999999999999</c:v>
                </c:pt>
                <c:pt idx="10">
                  <c:v>0.182</c:v>
                </c:pt>
                <c:pt idx="11">
                  <c:v>0.13900000000000001</c:v>
                </c:pt>
                <c:pt idx="12">
                  <c:v>0.10100000000000001</c:v>
                </c:pt>
                <c:pt idx="13">
                  <c:v>7.2999999999999995E-2</c:v>
                </c:pt>
                <c:pt idx="14">
                  <c:v>0.04</c:v>
                </c:pt>
                <c:pt idx="15">
                  <c:v>2E-3</c:v>
                </c:pt>
                <c:pt idx="16">
                  <c:v>-1.0999999999999999E-2</c:v>
                </c:pt>
                <c:pt idx="17">
                  <c:v>-1.2E-2</c:v>
                </c:pt>
                <c:pt idx="18">
                  <c:v>-1.4999999999999999E-2</c:v>
                </c:pt>
                <c:pt idx="19">
                  <c:v>-1.6E-2</c:v>
                </c:pt>
                <c:pt idx="20">
                  <c:v>5.0000000000000001E-3</c:v>
                </c:pt>
                <c:pt idx="21">
                  <c:v>1.4E-2</c:v>
                </c:pt>
                <c:pt idx="22">
                  <c:v>1.2E-2</c:v>
                </c:pt>
                <c:pt idx="23">
                  <c:v>8.9999999999999993E-3</c:v>
                </c:pt>
                <c:pt idx="24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3D-48DC-8038-1FD131B62750}"/>
            </c:ext>
          </c:extLst>
        </c:ser>
        <c:ser>
          <c:idx val="5"/>
          <c:order val="4"/>
          <c:tx>
            <c:strRef>
              <c:f>Лист2!$H$58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Лист2!$A$59:$A$83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Лист2!$H$59:$H$83</c:f>
              <c:numCache>
                <c:formatCode>General</c:formatCode>
                <c:ptCount val="25"/>
                <c:pt idx="0">
                  <c:v>1</c:v>
                </c:pt>
                <c:pt idx="1">
                  <c:v>0.85393966562353518</c:v>
                </c:pt>
                <c:pt idx="2">
                  <c:v>0.7292129525252351</c:v>
                </c:pt>
                <c:pt idx="3">
                  <c:v>0.62270386484775009</c:v>
                </c:pt>
                <c:pt idx="4">
                  <c:v>0.53175153013057075</c:v>
                </c:pt>
                <c:pt idx="5">
                  <c:v>0.45408372383450274</c:v>
                </c:pt>
                <c:pt idx="6">
                  <c:v>0.38776010329632493</c:v>
                </c:pt>
                <c:pt idx="7">
                  <c:v>0.33112373295101116</c:v>
                </c:pt>
                <c:pt idx="8">
                  <c:v>0.28275968979620325</c:v>
                </c:pt>
                <c:pt idx="9">
                  <c:v>0.24145971495638432</c:v>
                </c:pt>
                <c:pt idx="10">
                  <c:v>0.20619202825140892</c:v>
                </c:pt>
                <c:pt idx="11">
                  <c:v>0.17607555165924665</c:v>
                </c:pt>
                <c:pt idx="12">
                  <c:v>0.1503578977083766</c:v>
                </c:pt>
                <c:pt idx="13">
                  <c:v>0.12839657289294878</c:v>
                </c:pt>
                <c:pt idx="14">
                  <c:v>0.10964292652341254</c:v>
                </c:pt>
                <c:pt idx="15">
                  <c:v>9.3628444013388781E-2</c:v>
                </c:pt>
                <c:pt idx="16">
                  <c:v>7.9953042173645086E-2</c:v>
                </c:pt>
                <c:pt idx="17">
                  <c:v>6.8275074099346883E-2</c:v>
                </c:pt>
                <c:pt idx="18">
                  <c:v>5.8302793946818365E-2</c:v>
                </c:pt>
                <c:pt idx="19">
                  <c:v>4.9787068367863944E-2</c:v>
                </c:pt>
                <c:pt idx="20">
                  <c:v>4.2515152514429819E-2</c:v>
                </c:pt>
                <c:pt idx="21">
                  <c:v>3.6305375122105799E-2</c:v>
                </c:pt>
                <c:pt idx="22">
                  <c:v>3.1002599892108035E-2</c:v>
                </c:pt>
                <c:pt idx="23">
                  <c:v>2.6474349785326982E-2</c:v>
                </c:pt>
                <c:pt idx="24">
                  <c:v>2.2607497403282641E-2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3D-48DC-8038-1FD131B62750}"/>
            </c:ext>
          </c:extLst>
        </c:ser>
        <c:ser>
          <c:idx val="6"/>
          <c:order val="5"/>
          <c:tx>
            <c:strRef>
              <c:f>Лист2!$I$58</c:f>
              <c:strCache>
                <c:ptCount val="1"/>
                <c:pt idx="0">
                  <c:v>G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Лист2!$A$59:$A$83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Лист2!$I$59:$I$83</c:f>
              <c:numCache>
                <c:formatCode>General</c:formatCode>
                <c:ptCount val="25"/>
                <c:pt idx="0">
                  <c:v>1</c:v>
                </c:pt>
                <c:pt idx="1">
                  <c:v>0.86687789975018159</c:v>
                </c:pt>
                <c:pt idx="2">
                  <c:v>0.75147729307528599</c:v>
                </c:pt>
                <c:pt idx="3">
                  <c:v>0.65143905753105558</c:v>
                </c:pt>
                <c:pt idx="4">
                  <c:v>0.56471812200775928</c:v>
                </c:pt>
                <c:pt idx="5">
                  <c:v>0.48954165955695311</c:v>
                </c:pt>
                <c:pt idx="6">
                  <c:v>0.42437284567694999</c:v>
                </c:pt>
                <c:pt idx="7">
                  <c:v>0.36787944117144233</c:v>
                </c:pt>
                <c:pt idx="8">
                  <c:v>0.31890655732397044</c:v>
                </c:pt>
                <c:pt idx="9">
                  <c:v>0.27645304662956433</c:v>
                </c:pt>
                <c:pt idx="10">
                  <c:v>0.23965103644177579</c:v>
                </c:pt>
                <c:pt idx="11">
                  <c:v>0.20774818714360085</c:v>
                </c:pt>
                <c:pt idx="12">
                  <c:v>0.1800923121479524</c:v>
                </c:pt>
                <c:pt idx="13">
                  <c:v>0.15611804531597107</c:v>
                </c:pt>
                <c:pt idx="14">
                  <c:v>0.1353352832366127</c:v>
                </c:pt>
                <c:pt idx="15">
                  <c:v>0.11731916609425078</c:v>
                </c:pt>
                <c:pt idx="16">
                  <c:v>0.10170139230422684</c:v>
                </c:pt>
                <c:pt idx="17">
                  <c:v>8.8162689362357452E-2</c:v>
                </c:pt>
                <c:pt idx="18">
                  <c:v>7.6426286990768075E-2</c:v>
                </c:pt>
                <c:pt idx="19">
                  <c:v>6.6252259152261669E-2</c:v>
                </c:pt>
                <c:pt idx="20">
                  <c:v>5.7432619267617349E-2</c:v>
                </c:pt>
                <c:pt idx="21">
                  <c:v>4.9787068367863944E-2</c:v>
                </c:pt>
                <c:pt idx="22">
                  <c:v>4.3159309261452602E-2</c:v>
                </c:pt>
                <c:pt idx="23">
                  <c:v>3.7413851367236593E-2</c:v>
                </c:pt>
                <c:pt idx="24">
                  <c:v>3.2433240894795524E-2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3D-48DC-8038-1FD131B62750}"/>
            </c:ext>
          </c:extLst>
        </c:ser>
        <c:ser>
          <c:idx val="7"/>
          <c:order val="6"/>
          <c:tx>
            <c:strRef>
              <c:f>Лист2!$J$58</c:f>
              <c:strCache>
                <c:ptCount val="1"/>
                <c:pt idx="0">
                  <c:v>B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Лист2!$A$59:$A$83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Лист2!$J$59:$J$83</c:f>
              <c:numCache>
                <c:formatCode>General</c:formatCode>
                <c:ptCount val="25"/>
                <c:pt idx="0">
                  <c:v>1</c:v>
                </c:pt>
                <c:pt idx="1">
                  <c:v>0.87252529286942382</c:v>
                </c:pt>
                <c:pt idx="2">
                  <c:v>0.76130038669687372</c:v>
                </c:pt>
                <c:pt idx="3">
                  <c:v>0.66425384286429534</c:v>
                </c:pt>
                <c:pt idx="4">
                  <c:v>0.5795782787848095</c:v>
                </c:pt>
                <c:pt idx="5">
                  <c:v>0.50569670743747253</c:v>
                </c:pt>
                <c:pt idx="6">
                  <c:v>0.44123316775998395</c:v>
                </c:pt>
                <c:pt idx="7">
                  <c:v>0.38498709892348359</c:v>
                </c:pt>
                <c:pt idx="8">
                  <c:v>0.33591098123916241</c:v>
                </c:pt>
                <c:pt idx="9">
                  <c:v>0.29309082728375568</c:v>
                </c:pt>
                <c:pt idx="10">
                  <c:v>0.25572915991310063</c:v>
                </c:pt>
                <c:pt idx="11">
                  <c:v>0.22313016014842982</c:v>
                </c:pt>
                <c:pt idx="12">
                  <c:v>0.19468670833151014</c:v>
                </c:pt>
                <c:pt idx="13">
                  <c:v>0.16986907720473501</c:v>
                </c:pt>
                <c:pt idx="14">
                  <c:v>0.14821506633752016</c:v>
                </c:pt>
                <c:pt idx="15">
                  <c:v>0.12932139416380586</c:v>
                </c:pt>
                <c:pt idx="16">
                  <c:v>0.11283618731705691</c:v>
                </c:pt>
                <c:pt idx="17">
                  <c:v>9.845242738508421E-2</c:v>
                </c:pt>
                <c:pt idx="18">
                  <c:v>8.5902233037876294E-2</c:v>
                </c:pt>
                <c:pt idx="19">
                  <c:v>7.4951871039510509E-2</c:v>
                </c:pt>
                <c:pt idx="20">
                  <c:v>6.5397403229860207E-2</c:v>
                </c:pt>
                <c:pt idx="21">
                  <c:v>5.7060888406033558E-2</c:v>
                </c:pt>
                <c:pt idx="22">
                  <c:v>4.9787068367863944E-2</c:v>
                </c:pt>
                <c:pt idx="23">
                  <c:v>4.3440476408780515E-2</c:v>
                </c:pt>
                <c:pt idx="24">
                  <c:v>3.7902914400958505E-2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3D-48DC-8038-1FD131B62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15232"/>
        <c:axId val="107711904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Лист2!$G$58</c15:sqref>
                        </c15:formulaRef>
                      </c:ext>
                    </c:extLst>
                    <c:strCache>
                      <c:ptCount val="1"/>
                      <c:pt idx="0">
                        <c:v>1/e</c:v>
                      </c:pt>
                    </c:strCache>
                  </c:strRef>
                </c:tx>
                <c:spPr>
                  <a:ln w="317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Лист2!$A$59:$A$83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3</c:v>
                      </c:pt>
                      <c:pt idx="2">
                        <c:v>6</c:v>
                      </c:pt>
                      <c:pt idx="3">
                        <c:v>9</c:v>
                      </c:pt>
                      <c:pt idx="4">
                        <c:v>12</c:v>
                      </c:pt>
                      <c:pt idx="5">
                        <c:v>15</c:v>
                      </c:pt>
                      <c:pt idx="6">
                        <c:v>18</c:v>
                      </c:pt>
                      <c:pt idx="7">
                        <c:v>21</c:v>
                      </c:pt>
                      <c:pt idx="8">
                        <c:v>24</c:v>
                      </c:pt>
                      <c:pt idx="9">
                        <c:v>27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36</c:v>
                      </c:pt>
                      <c:pt idx="13">
                        <c:v>39</c:v>
                      </c:pt>
                      <c:pt idx="14">
                        <c:v>42</c:v>
                      </c:pt>
                      <c:pt idx="15">
                        <c:v>45</c:v>
                      </c:pt>
                      <c:pt idx="16">
                        <c:v>48</c:v>
                      </c:pt>
                      <c:pt idx="17">
                        <c:v>51</c:v>
                      </c:pt>
                      <c:pt idx="18">
                        <c:v>54</c:v>
                      </c:pt>
                      <c:pt idx="19">
                        <c:v>57</c:v>
                      </c:pt>
                      <c:pt idx="20">
                        <c:v>60</c:v>
                      </c:pt>
                      <c:pt idx="21">
                        <c:v>63</c:v>
                      </c:pt>
                      <c:pt idx="22">
                        <c:v>66</c:v>
                      </c:pt>
                      <c:pt idx="23">
                        <c:v>69</c:v>
                      </c:pt>
                      <c:pt idx="24">
                        <c:v>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Лист2!$G$59:$G$83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0.36787944117144233</c:v>
                      </c:pt>
                      <c:pt idx="1">
                        <c:v>0.36787944117144233</c:v>
                      </c:pt>
                      <c:pt idx="2">
                        <c:v>0.36787944117144233</c:v>
                      </c:pt>
                      <c:pt idx="3">
                        <c:v>0.36787944117144233</c:v>
                      </c:pt>
                      <c:pt idx="4">
                        <c:v>0.36787944117144233</c:v>
                      </c:pt>
                      <c:pt idx="5">
                        <c:v>0.36787944117144233</c:v>
                      </c:pt>
                      <c:pt idx="6">
                        <c:v>0.36787944117144233</c:v>
                      </c:pt>
                      <c:pt idx="7">
                        <c:v>0.36787944117144233</c:v>
                      </c:pt>
                      <c:pt idx="8">
                        <c:v>0.36787944117144233</c:v>
                      </c:pt>
                      <c:pt idx="9">
                        <c:v>0.36787944117144233</c:v>
                      </c:pt>
                      <c:pt idx="10">
                        <c:v>0.36787944117144233</c:v>
                      </c:pt>
                      <c:pt idx="11">
                        <c:v>0.36787944117144233</c:v>
                      </c:pt>
                      <c:pt idx="12">
                        <c:v>0.36787944117144233</c:v>
                      </c:pt>
                      <c:pt idx="13">
                        <c:v>0.36787944117144233</c:v>
                      </c:pt>
                      <c:pt idx="14">
                        <c:v>0.36787944117144233</c:v>
                      </c:pt>
                      <c:pt idx="15">
                        <c:v>0.36787944117144233</c:v>
                      </c:pt>
                      <c:pt idx="16">
                        <c:v>0.36787944117144233</c:v>
                      </c:pt>
                      <c:pt idx="17">
                        <c:v>0.36787944117144233</c:v>
                      </c:pt>
                      <c:pt idx="18">
                        <c:v>0.36787944117144233</c:v>
                      </c:pt>
                      <c:pt idx="19">
                        <c:v>0.36787944117144233</c:v>
                      </c:pt>
                      <c:pt idx="20">
                        <c:v>0.36787944117144233</c:v>
                      </c:pt>
                      <c:pt idx="21">
                        <c:v>0.36787944117144233</c:v>
                      </c:pt>
                      <c:pt idx="22">
                        <c:v>0.36787944117144233</c:v>
                      </c:pt>
                      <c:pt idx="23">
                        <c:v>0.36787944117144233</c:v>
                      </c:pt>
                      <c:pt idx="24">
                        <c:v>0.36787944117144233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53D-48DC-8038-1FD131B62750}"/>
                  </c:ext>
                </c:extLst>
              </c15:ser>
            </c15:filteredLineSeries>
          </c:ext>
        </c:extLst>
      </c:lineChart>
      <c:catAx>
        <c:axId val="10771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11904"/>
        <c:crosses val="autoZero"/>
        <c:auto val="1"/>
        <c:lblAlgn val="ctr"/>
        <c:lblOffset val="100"/>
        <c:noMultiLvlLbl val="0"/>
      </c:catAx>
      <c:valAx>
        <c:axId val="1077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1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Лист2!$B$86</c:f>
              <c:strCache>
                <c:ptCount val="1"/>
                <c:pt idx="0">
                  <c:v>B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Лист2!$A$87:$A$111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</c:numCache>
            </c:numRef>
          </c:cat>
          <c:val>
            <c:numRef>
              <c:f>Лист2!$B$87:$B$111</c:f>
              <c:numCache>
                <c:formatCode>General</c:formatCode>
                <c:ptCount val="25"/>
                <c:pt idx="0">
                  <c:v>1</c:v>
                </c:pt>
                <c:pt idx="1">
                  <c:v>0.78700000000000003</c:v>
                </c:pt>
                <c:pt idx="2">
                  <c:v>0.63</c:v>
                </c:pt>
                <c:pt idx="3">
                  <c:v>0.43099999999999999</c:v>
                </c:pt>
                <c:pt idx="4">
                  <c:v>0.39300000000000002</c:v>
                </c:pt>
                <c:pt idx="5">
                  <c:v>0.29899999999999999</c:v>
                </c:pt>
                <c:pt idx="6">
                  <c:v>0.19500000000000001</c:v>
                </c:pt>
                <c:pt idx="7">
                  <c:v>0.11</c:v>
                </c:pt>
                <c:pt idx="8">
                  <c:v>5.1999999999999998E-2</c:v>
                </c:pt>
                <c:pt idx="9">
                  <c:v>8.0000000000000002E-3</c:v>
                </c:pt>
                <c:pt idx="10">
                  <c:v>-2.7E-2</c:v>
                </c:pt>
                <c:pt idx="11">
                  <c:v>-6.4000000000000001E-2</c:v>
                </c:pt>
                <c:pt idx="12">
                  <c:v>-5.7000000000000002E-2</c:v>
                </c:pt>
                <c:pt idx="13">
                  <c:v>-4.4999999999999998E-2</c:v>
                </c:pt>
                <c:pt idx="14">
                  <c:v>-3.6999999999999998E-2</c:v>
                </c:pt>
                <c:pt idx="15">
                  <c:v>-4.9000000000000002E-2</c:v>
                </c:pt>
                <c:pt idx="16">
                  <c:v>-3.5000000000000003E-2</c:v>
                </c:pt>
                <c:pt idx="17">
                  <c:v>-2.8000000000000001E-2</c:v>
                </c:pt>
                <c:pt idx="18">
                  <c:v>-0.03</c:v>
                </c:pt>
                <c:pt idx="19">
                  <c:v>-3.9E-2</c:v>
                </c:pt>
                <c:pt idx="20">
                  <c:v>-5.5E-2</c:v>
                </c:pt>
                <c:pt idx="21">
                  <c:v>-0.05</c:v>
                </c:pt>
                <c:pt idx="22">
                  <c:v>-4.2000000000000003E-2</c:v>
                </c:pt>
                <c:pt idx="23">
                  <c:v>-3.1E-2</c:v>
                </c:pt>
                <c:pt idx="24">
                  <c:v>-1.6E-2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6-42A4-849F-D2AFA6866905}"/>
            </c:ext>
          </c:extLst>
        </c:ser>
        <c:ser>
          <c:idx val="3"/>
          <c:order val="1"/>
          <c:tx>
            <c:strRef>
              <c:f>Лист2!$D$86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Лист2!$A$87:$A$111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</c:numCache>
            </c:numRef>
          </c:cat>
          <c:val>
            <c:numRef>
              <c:f>Лист2!$D$87:$D$111</c:f>
              <c:numCache>
                <c:formatCode>General</c:formatCode>
                <c:ptCount val="25"/>
                <c:pt idx="0">
                  <c:v>1</c:v>
                </c:pt>
                <c:pt idx="1">
                  <c:v>0.81499999999999995</c:v>
                </c:pt>
                <c:pt idx="2">
                  <c:v>0.56799999999999995</c:v>
                </c:pt>
                <c:pt idx="3">
                  <c:v>0.53100000000000003</c:v>
                </c:pt>
                <c:pt idx="4">
                  <c:v>0.443</c:v>
                </c:pt>
                <c:pt idx="5">
                  <c:v>0.35799999999999998</c:v>
                </c:pt>
                <c:pt idx="6">
                  <c:v>0.27100000000000002</c:v>
                </c:pt>
                <c:pt idx="7">
                  <c:v>0.188</c:v>
                </c:pt>
                <c:pt idx="8">
                  <c:v>0.123</c:v>
                </c:pt>
                <c:pt idx="9">
                  <c:v>7.0999999999999994E-2</c:v>
                </c:pt>
                <c:pt idx="10">
                  <c:v>3.1E-2</c:v>
                </c:pt>
                <c:pt idx="11">
                  <c:v>-1.4E-2</c:v>
                </c:pt>
                <c:pt idx="12">
                  <c:v>-2.8000000000000001E-2</c:v>
                </c:pt>
                <c:pt idx="13">
                  <c:v>-2.4E-2</c:v>
                </c:pt>
                <c:pt idx="14">
                  <c:v>-1.7999999999999999E-2</c:v>
                </c:pt>
                <c:pt idx="15">
                  <c:v>-2.1999999999999999E-2</c:v>
                </c:pt>
                <c:pt idx="16">
                  <c:v>-1.2999999999999999E-2</c:v>
                </c:pt>
                <c:pt idx="17">
                  <c:v>-1.2E-2</c:v>
                </c:pt>
                <c:pt idx="18">
                  <c:v>-1.7000000000000001E-2</c:v>
                </c:pt>
                <c:pt idx="19">
                  <c:v>-0.02</c:v>
                </c:pt>
                <c:pt idx="20">
                  <c:v>-4.5999999999999999E-2</c:v>
                </c:pt>
                <c:pt idx="21">
                  <c:v>-5.0999999999999997E-2</c:v>
                </c:pt>
                <c:pt idx="22">
                  <c:v>-4.4999999999999998E-2</c:v>
                </c:pt>
                <c:pt idx="23">
                  <c:v>-3.2000000000000001E-2</c:v>
                </c:pt>
                <c:pt idx="24">
                  <c:v>-1.6E-2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C6-42A4-849F-D2AFA6866905}"/>
            </c:ext>
          </c:extLst>
        </c:ser>
        <c:ser>
          <c:idx val="4"/>
          <c:order val="2"/>
          <c:tx>
            <c:strRef>
              <c:f>Лист2!$F$86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Лист2!$A$87:$A$111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</c:numCache>
            </c:numRef>
          </c:cat>
          <c:val>
            <c:numRef>
              <c:f>Лист2!$F$87:$F$111</c:f>
              <c:numCache>
                <c:formatCode>General</c:formatCode>
                <c:ptCount val="25"/>
                <c:pt idx="0">
                  <c:v>1</c:v>
                </c:pt>
                <c:pt idx="1">
                  <c:v>0.82699999999999996</c:v>
                </c:pt>
                <c:pt idx="2">
                  <c:v>0.68200000000000005</c:v>
                </c:pt>
                <c:pt idx="3">
                  <c:v>0.54600000000000004</c:v>
                </c:pt>
                <c:pt idx="4">
                  <c:v>0.45900000000000002</c:v>
                </c:pt>
                <c:pt idx="5">
                  <c:v>0.375</c:v>
                </c:pt>
                <c:pt idx="6">
                  <c:v>0.29599999999999999</c:v>
                </c:pt>
                <c:pt idx="7">
                  <c:v>0.216</c:v>
                </c:pt>
                <c:pt idx="8">
                  <c:v>0.153</c:v>
                </c:pt>
                <c:pt idx="9">
                  <c:v>0.10100000000000001</c:v>
                </c:pt>
                <c:pt idx="10">
                  <c:v>6.5000000000000002E-2</c:v>
                </c:pt>
                <c:pt idx="11">
                  <c:v>1.4E-2</c:v>
                </c:pt>
                <c:pt idx="12">
                  <c:v>-1.0999999999999999E-2</c:v>
                </c:pt>
                <c:pt idx="13">
                  <c:v>-1.6E-2</c:v>
                </c:pt>
                <c:pt idx="14">
                  <c:v>-1.4999999999999999E-2</c:v>
                </c:pt>
                <c:pt idx="15">
                  <c:v>-0.01</c:v>
                </c:pt>
                <c:pt idx="16">
                  <c:v>8.9999999999999993E-3</c:v>
                </c:pt>
                <c:pt idx="17">
                  <c:v>1.4E-2</c:v>
                </c:pt>
                <c:pt idx="18">
                  <c:v>4.0000000000000001E-3</c:v>
                </c:pt>
                <c:pt idx="19">
                  <c:v>-0.01</c:v>
                </c:pt>
                <c:pt idx="20">
                  <c:v>-2.5999999999999999E-2</c:v>
                </c:pt>
                <c:pt idx="21">
                  <c:v>-3.3000000000000002E-2</c:v>
                </c:pt>
                <c:pt idx="22">
                  <c:v>-3.2000000000000001E-2</c:v>
                </c:pt>
                <c:pt idx="23">
                  <c:v>-2.5000000000000001E-2</c:v>
                </c:pt>
                <c:pt idx="24">
                  <c:v>-1.2999999999999999E-2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C6-42A4-849F-D2AFA6866905}"/>
            </c:ext>
          </c:extLst>
        </c:ser>
        <c:ser>
          <c:idx val="6"/>
          <c:order val="4"/>
          <c:tx>
            <c:strRef>
              <c:f>Лист2!$H$86</c:f>
              <c:strCache>
                <c:ptCount val="1"/>
                <c:pt idx="0">
                  <c:v>R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Лист2!$A$87:$A$111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</c:numCache>
            </c:numRef>
          </c:cat>
          <c:val>
            <c:numRef>
              <c:f>Лист2!$H$87:$H$111</c:f>
              <c:numCache>
                <c:formatCode>General</c:formatCode>
                <c:ptCount val="25"/>
                <c:pt idx="0">
                  <c:v>1</c:v>
                </c:pt>
                <c:pt idx="1">
                  <c:v>0.76592833836464869</c:v>
                </c:pt>
                <c:pt idx="2">
                  <c:v>0.58664621951003182</c:v>
                </c:pt>
                <c:pt idx="3">
                  <c:v>0.44932896411722156</c:v>
                </c:pt>
                <c:pt idx="4">
                  <c:v>0.34415378686541237</c:v>
                </c:pt>
                <c:pt idx="5">
                  <c:v>0.26359713811572677</c:v>
                </c:pt>
                <c:pt idx="6">
                  <c:v>0.20189651799465538</c:v>
                </c:pt>
                <c:pt idx="7">
                  <c:v>0.15463826454925481</c:v>
                </c:pt>
                <c:pt idx="8">
                  <c:v>0.11844182901380371</c:v>
                </c:pt>
                <c:pt idx="9">
                  <c:v>9.0717953289412512E-2</c:v>
                </c:pt>
                <c:pt idx="10">
                  <c:v>6.9483451222801543E-2</c:v>
                </c:pt>
                <c:pt idx="11">
                  <c:v>5.3219344338921511E-2</c:v>
                </c:pt>
                <c:pt idx="12">
                  <c:v>4.0762203978366211E-2</c:v>
                </c:pt>
                <c:pt idx="13">
                  <c:v>3.1220927161230903E-2</c:v>
                </c:pt>
                <c:pt idx="14">
                  <c:v>2.3912992862805314E-2</c:v>
                </c:pt>
                <c:pt idx="15">
                  <c:v>1.8315638888734179E-2</c:v>
                </c:pt>
                <c:pt idx="16">
                  <c:v>1.4028466860135112E-2</c:v>
                </c:pt>
                <c:pt idx="17">
                  <c:v>1.0744800311986828E-2</c:v>
                </c:pt>
                <c:pt idx="18">
                  <c:v>8.2297470490200302E-3</c:v>
                </c:pt>
                <c:pt idx="19">
                  <c:v>6.3033964824172834E-3</c:v>
                </c:pt>
                <c:pt idx="20">
                  <c:v>4.8279499938314414E-3</c:v>
                </c:pt>
                <c:pt idx="21">
                  <c:v>3.697863716482932E-3</c:v>
                </c:pt>
                <c:pt idx="22">
                  <c:v>2.832298611864697E-3</c:v>
                </c:pt>
                <c:pt idx="23">
                  <c:v>2.1693377695380265E-3</c:v>
                </c:pt>
                <c:pt idx="24">
                  <c:v>1.6615572731739339E-3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C6-42A4-849F-D2AFA6866905}"/>
            </c:ext>
          </c:extLst>
        </c:ser>
        <c:ser>
          <c:idx val="7"/>
          <c:order val="5"/>
          <c:tx>
            <c:strRef>
              <c:f>Лист2!$I$86</c:f>
              <c:strCache>
                <c:ptCount val="1"/>
                <c:pt idx="0">
                  <c:v>G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Лист2!$A$87:$A$111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</c:numCache>
            </c:numRef>
          </c:cat>
          <c:val>
            <c:numRef>
              <c:f>Лист2!$I$87:$I$111</c:f>
              <c:numCache>
                <c:formatCode>General</c:formatCode>
                <c:ptCount val="25"/>
                <c:pt idx="0">
                  <c:v>1</c:v>
                </c:pt>
                <c:pt idx="1">
                  <c:v>0.80073740291680806</c:v>
                </c:pt>
                <c:pt idx="2">
                  <c:v>0.64118038842995462</c:v>
                </c:pt>
                <c:pt idx="3">
                  <c:v>0.51341711903259202</c:v>
                </c:pt>
                <c:pt idx="4">
                  <c:v>0.41111229050718745</c:v>
                </c:pt>
                <c:pt idx="5">
                  <c:v>0.32919298780790557</c:v>
                </c:pt>
                <c:pt idx="6">
                  <c:v>0.26359713811572677</c:v>
                </c:pt>
                <c:pt idx="7">
                  <c:v>0.21107208779109021</c:v>
                </c:pt>
                <c:pt idx="8">
                  <c:v>0.16901331540606609</c:v>
                </c:pt>
                <c:pt idx="9">
                  <c:v>0.1353352832366127</c:v>
                </c:pt>
                <c:pt idx="10">
                  <c:v>0.10836802322189586</c:v>
                </c:pt>
                <c:pt idx="11">
                  <c:v>8.6774329473929226E-2</c:v>
                </c:pt>
                <c:pt idx="12">
                  <c:v>6.9483451222801543E-2</c:v>
                </c:pt>
                <c:pt idx="13">
                  <c:v>5.5637998277842812E-2</c:v>
                </c:pt>
                <c:pt idx="14">
                  <c:v>4.4551426244489691E-2</c:v>
                </c:pt>
                <c:pt idx="15">
                  <c:v>3.5673993347252395E-2</c:v>
                </c:pt>
                <c:pt idx="16">
                  <c:v>2.8565500784550377E-2</c:v>
                </c:pt>
                <c:pt idx="17">
                  <c:v>2.287346491123891E-2</c:v>
                </c:pt>
                <c:pt idx="18">
                  <c:v>1.8315638888734179E-2</c:v>
                </c:pt>
                <c:pt idx="19">
                  <c:v>1.4666017116527099E-2</c:v>
                </c:pt>
                <c:pt idx="20">
                  <c:v>1.1743628457021361E-2</c:v>
                </c:pt>
                <c:pt idx="21">
                  <c:v>9.4035625514952061E-3</c:v>
                </c:pt>
                <c:pt idx="22">
                  <c:v>7.5297842556500232E-3</c:v>
                </c:pt>
                <c:pt idx="23">
                  <c:v>6.0293798893930745E-3</c:v>
                </c:pt>
                <c:pt idx="24">
                  <c:v>4.8279499938314414E-3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C6-42A4-849F-D2AFA6866905}"/>
            </c:ext>
          </c:extLst>
        </c:ser>
        <c:ser>
          <c:idx val="0"/>
          <c:order val="6"/>
          <c:tx>
            <c:strRef>
              <c:f>Лист2!$J$86</c:f>
              <c:strCache>
                <c:ptCount val="1"/>
                <c:pt idx="0">
                  <c:v>B</c:v>
                </c:pt>
              </c:strCache>
            </c:strRef>
          </c:tx>
          <c:spPr>
            <a:ln w="317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Лист2!$A$87:$A$111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</c:numCache>
            </c:numRef>
          </c:cat>
          <c:val>
            <c:numRef>
              <c:f>Лист2!$J$87:$J$111</c:f>
              <c:numCache>
                <c:formatCode>General</c:formatCode>
                <c:ptCount val="25"/>
                <c:pt idx="0">
                  <c:v>1</c:v>
                </c:pt>
                <c:pt idx="1">
                  <c:v>0.81454288114248363</c:v>
                </c:pt>
                <c:pt idx="2">
                  <c:v>0.6634801052198982</c:v>
                </c:pt>
                <c:pt idx="3">
                  <c:v>0.54043299648653409</c:v>
                </c:pt>
                <c:pt idx="4">
                  <c:v>0.4402058500226072</c:v>
                </c:pt>
                <c:pt idx="5">
                  <c:v>0.35856654137319055</c:v>
                </c:pt>
                <c:pt idx="6">
                  <c:v>0.29206782369141415</c:v>
                </c:pt>
                <c:pt idx="7">
                  <c:v>0.23790176659861942</c:v>
                </c:pt>
                <c:pt idx="8">
                  <c:v>0.19378119039412614</c:v>
                </c:pt>
                <c:pt idx="9">
                  <c:v>0.15784308913485165</c:v>
                </c:pt>
                <c:pt idx="10">
                  <c:v>0.12856996459233197</c:v>
                </c:pt>
                <c:pt idx="11">
                  <c:v>0.10472574938742517</c:v>
                </c:pt>
                <c:pt idx="12">
                  <c:v>8.5303613635838965E-2</c:v>
                </c:pt>
                <c:pt idx="13">
                  <c:v>6.9483451222801543E-2</c:v>
                </c:pt>
                <c:pt idx="14">
                  <c:v>5.6597250550743987E-2</c:v>
                </c:pt>
                <c:pt idx="15">
                  <c:v>4.610088752834602E-2</c:v>
                </c:pt>
                <c:pt idx="16">
                  <c:v>3.7551149750564568E-2</c:v>
                </c:pt>
                <c:pt idx="17">
                  <c:v>3.0587021708037714E-2</c:v>
                </c:pt>
                <c:pt idx="18">
                  <c:v>2.4914440787632726E-2</c:v>
                </c:pt>
                <c:pt idx="19">
                  <c:v>2.0293880381212177E-2</c:v>
                </c:pt>
                <c:pt idx="20">
                  <c:v>1.6530235795273494E-2</c:v>
                </c:pt>
                <c:pt idx="21">
                  <c:v>1.3464585890646684E-2</c:v>
                </c:pt>
                <c:pt idx="22">
                  <c:v>1.0967482584757781E-2</c:v>
                </c:pt>
                <c:pt idx="23">
                  <c:v>8.9334848634686163E-3</c:v>
                </c:pt>
                <c:pt idx="24">
                  <c:v>7.276706499332492E-3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C6-42A4-849F-D2AFA6866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15232"/>
        <c:axId val="107711904"/>
        <c:extLst>
          <c:ext xmlns:c15="http://schemas.microsoft.com/office/drawing/2012/chart" uri="{02D57815-91ED-43cb-92C2-25804820EDAC}">
            <c15:filteredLineSeries>
              <c15:ser>
                <c:idx val="5"/>
                <c:order val="3"/>
                <c:tx>
                  <c:strRef>
                    <c:extLst>
                      <c:ext uri="{02D57815-91ED-43cb-92C2-25804820EDAC}">
                        <c15:formulaRef>
                          <c15:sqref>Лист2!$G$86</c15:sqref>
                        </c15:formulaRef>
                      </c:ext>
                    </c:extLst>
                    <c:strCache>
                      <c:ptCount val="1"/>
                      <c:pt idx="0">
                        <c:v>1/e</c:v>
                      </c:pt>
                    </c:strCache>
                  </c:strRef>
                </c:tx>
                <c:spPr>
                  <a:ln w="317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Лист2!$A$87:$A$111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  <c:pt idx="8">
                        <c:v>32</c:v>
                      </c:pt>
                      <c:pt idx="9">
                        <c:v>36</c:v>
                      </c:pt>
                      <c:pt idx="10">
                        <c:v>40</c:v>
                      </c:pt>
                      <c:pt idx="11">
                        <c:v>44</c:v>
                      </c:pt>
                      <c:pt idx="12">
                        <c:v>48</c:v>
                      </c:pt>
                      <c:pt idx="13">
                        <c:v>52</c:v>
                      </c:pt>
                      <c:pt idx="14">
                        <c:v>56</c:v>
                      </c:pt>
                      <c:pt idx="15">
                        <c:v>60</c:v>
                      </c:pt>
                      <c:pt idx="16">
                        <c:v>64</c:v>
                      </c:pt>
                      <c:pt idx="17">
                        <c:v>68</c:v>
                      </c:pt>
                      <c:pt idx="18">
                        <c:v>72</c:v>
                      </c:pt>
                      <c:pt idx="19">
                        <c:v>76</c:v>
                      </c:pt>
                      <c:pt idx="20">
                        <c:v>80</c:v>
                      </c:pt>
                      <c:pt idx="21">
                        <c:v>84</c:v>
                      </c:pt>
                      <c:pt idx="22">
                        <c:v>88</c:v>
                      </c:pt>
                      <c:pt idx="23">
                        <c:v>92</c:v>
                      </c:pt>
                      <c:pt idx="24">
                        <c:v>96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Лист2!$G$87:$G$111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0.36787944117144233</c:v>
                      </c:pt>
                      <c:pt idx="1">
                        <c:v>0.36787944117144233</c:v>
                      </c:pt>
                      <c:pt idx="2">
                        <c:v>0.36787944117144233</c:v>
                      </c:pt>
                      <c:pt idx="3">
                        <c:v>0.36787944117144233</c:v>
                      </c:pt>
                      <c:pt idx="4">
                        <c:v>0.36787944117144233</c:v>
                      </c:pt>
                      <c:pt idx="5">
                        <c:v>0.36787944117144233</c:v>
                      </c:pt>
                      <c:pt idx="6">
                        <c:v>0.36787944117144233</c:v>
                      </c:pt>
                      <c:pt idx="7">
                        <c:v>0.36787944117144233</c:v>
                      </c:pt>
                      <c:pt idx="8">
                        <c:v>0.36787944117144233</c:v>
                      </c:pt>
                      <c:pt idx="9">
                        <c:v>0.36787944117144233</c:v>
                      </c:pt>
                      <c:pt idx="10">
                        <c:v>0.36787944117144233</c:v>
                      </c:pt>
                      <c:pt idx="11">
                        <c:v>0.36787944117144233</c:v>
                      </c:pt>
                      <c:pt idx="12">
                        <c:v>0.36787944117144233</c:v>
                      </c:pt>
                      <c:pt idx="13">
                        <c:v>0.36787944117144233</c:v>
                      </c:pt>
                      <c:pt idx="14">
                        <c:v>0.36787944117144233</c:v>
                      </c:pt>
                      <c:pt idx="15">
                        <c:v>0.36787944117144233</c:v>
                      </c:pt>
                      <c:pt idx="16">
                        <c:v>0.36787944117144233</c:v>
                      </c:pt>
                      <c:pt idx="17">
                        <c:v>0.36787944117144233</c:v>
                      </c:pt>
                      <c:pt idx="18">
                        <c:v>0.36787944117144233</c:v>
                      </c:pt>
                      <c:pt idx="19">
                        <c:v>0.36787944117144233</c:v>
                      </c:pt>
                      <c:pt idx="20">
                        <c:v>0.36787944117144233</c:v>
                      </c:pt>
                      <c:pt idx="21">
                        <c:v>0.36787944117144233</c:v>
                      </c:pt>
                      <c:pt idx="22">
                        <c:v>0.36787944117144233</c:v>
                      </c:pt>
                      <c:pt idx="23">
                        <c:v>0.36787944117144233</c:v>
                      </c:pt>
                      <c:pt idx="24">
                        <c:v>0.36787944117144233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5C6-42A4-849F-D2AFA6866905}"/>
                  </c:ext>
                </c:extLst>
              </c15:ser>
            </c15:filteredLineSeries>
          </c:ext>
        </c:extLst>
      </c:lineChart>
      <c:catAx>
        <c:axId val="10771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11904"/>
        <c:crosses val="autoZero"/>
        <c:auto val="1"/>
        <c:lblAlgn val="ctr"/>
        <c:lblOffset val="100"/>
        <c:noMultiLvlLbl val="0"/>
      </c:catAx>
      <c:valAx>
        <c:axId val="1077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1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B61A76-C106-4256-A4BE-D55A4B4FF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22</xdr:col>
      <xdr:colOff>0</xdr:colOff>
      <xdr:row>55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809C237-5A5E-4855-9308-BC99FAA14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22</xdr:col>
      <xdr:colOff>0</xdr:colOff>
      <xdr:row>83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744B2E9-9B65-4733-BCF5-4D2DB8231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85</xdr:row>
      <xdr:rowOff>0</xdr:rowOff>
    </xdr:from>
    <xdr:to>
      <xdr:col>22</xdr:col>
      <xdr:colOff>0</xdr:colOff>
      <xdr:row>111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C38A205-E285-410A-BCDA-70C38653F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A77B-2E03-4E5D-A892-832635A09F05}">
  <dimension ref="A1:D25"/>
  <sheetViews>
    <sheetView workbookViewId="0">
      <selection activeCell="E32" sqref="E32"/>
    </sheetView>
  </sheetViews>
  <sheetFormatPr defaultRowHeight="14.4" x14ac:dyDescent="0.3"/>
  <sheetData>
    <row r="1" spans="1:4" x14ac:dyDescent="0.3">
      <c r="A1" s="1" t="s">
        <v>0</v>
      </c>
      <c r="B1" s="1">
        <v>8.6999999999999994E-2</v>
      </c>
      <c r="C1" s="1">
        <v>8.8999999999999996E-2</v>
      </c>
      <c r="D1" s="1">
        <v>8.4000000000000005E-2</v>
      </c>
    </row>
    <row r="2" spans="1:4" x14ac:dyDescent="0.3">
      <c r="A2" s="1" t="s">
        <v>1</v>
      </c>
      <c r="B2" s="1">
        <v>8.0000000000000002E-3</v>
      </c>
      <c r="C2" s="1">
        <v>4.0000000000000001E-3</v>
      </c>
      <c r="D2" s="1">
        <v>5.0000000000000001E-3</v>
      </c>
    </row>
    <row r="3" spans="1:4" x14ac:dyDescent="0.3">
      <c r="A3" s="1" t="s">
        <v>2</v>
      </c>
      <c r="B3" s="1">
        <v>4.0000000000000001E-3</v>
      </c>
      <c r="C3" s="1">
        <v>4.0000000000000001E-3</v>
      </c>
      <c r="D3" s="1">
        <v>3.0000000000000001E-3</v>
      </c>
    </row>
    <row r="4" spans="1:4" x14ac:dyDescent="0.3">
      <c r="A4" s="1" t="s">
        <v>3</v>
      </c>
      <c r="B4" s="1">
        <v>4.0000000000000001E-3</v>
      </c>
      <c r="C4" s="1">
        <v>0.01</v>
      </c>
      <c r="D4" s="1">
        <v>3.0000000000000001E-3</v>
      </c>
    </row>
    <row r="5" spans="1:4" x14ac:dyDescent="0.3">
      <c r="A5" s="1" t="s">
        <v>4</v>
      </c>
      <c r="B5" s="1">
        <v>1.0999999999999999E-2</v>
      </c>
      <c r="C5" s="1">
        <v>3.9E-2</v>
      </c>
      <c r="D5" s="1">
        <v>4.0000000000000001E-3</v>
      </c>
    </row>
    <row r="6" spans="1:4" x14ac:dyDescent="0.3">
      <c r="A6" s="1" t="s">
        <v>5</v>
      </c>
      <c r="B6" s="1">
        <v>6.5000000000000002E-2</v>
      </c>
      <c r="C6" s="1">
        <v>5.6000000000000001E-2</v>
      </c>
      <c r="D6" s="1">
        <v>5.0000000000000001E-3</v>
      </c>
    </row>
    <row r="7" spans="1:4" x14ac:dyDescent="0.3">
      <c r="A7" s="1" t="s">
        <v>6</v>
      </c>
      <c r="B7" s="1">
        <v>0.19800000000000001</v>
      </c>
      <c r="C7" s="1">
        <v>0.10100000000000001</v>
      </c>
      <c r="D7" s="1">
        <v>0.01</v>
      </c>
    </row>
    <row r="8" spans="1:4" x14ac:dyDescent="0.3">
      <c r="A8" s="1" t="s">
        <v>7</v>
      </c>
      <c r="B8" s="1">
        <v>0.16900000000000001</v>
      </c>
      <c r="C8" s="1">
        <v>6.4000000000000001E-2</v>
      </c>
      <c r="D8" s="1">
        <v>2.4E-2</v>
      </c>
    </row>
    <row r="9" spans="1:4" x14ac:dyDescent="0.3">
      <c r="A9" s="1" t="s">
        <v>8</v>
      </c>
      <c r="B9" s="1">
        <v>6.9000000000000006E-2</v>
      </c>
      <c r="C9" s="1">
        <v>4.5999999999999999E-2</v>
      </c>
      <c r="D9" s="1">
        <v>0.03</v>
      </c>
    </row>
    <row r="10" spans="1:4" x14ac:dyDescent="0.3">
      <c r="A10" s="1" t="s">
        <v>9</v>
      </c>
      <c r="B10" s="1">
        <v>5.0999999999999997E-2</v>
      </c>
      <c r="C10" s="1">
        <v>5.0999999999999997E-2</v>
      </c>
      <c r="D10" s="1">
        <v>3.4000000000000002E-2</v>
      </c>
    </row>
    <row r="11" spans="1:4" x14ac:dyDescent="0.3">
      <c r="A11" s="1" t="s">
        <v>10</v>
      </c>
      <c r="B11" s="1">
        <v>5.3999999999999999E-2</v>
      </c>
      <c r="C11" s="1">
        <v>5.1999999999999998E-2</v>
      </c>
      <c r="D11" s="1">
        <v>4.1000000000000002E-2</v>
      </c>
    </row>
    <row r="12" spans="1:4" x14ac:dyDescent="0.3">
      <c r="A12" s="1" t="s">
        <v>11</v>
      </c>
      <c r="B12" s="1">
        <v>6.5000000000000002E-2</v>
      </c>
      <c r="C12" s="1">
        <v>0.05</v>
      </c>
      <c r="D12" s="1">
        <v>4.5999999999999999E-2</v>
      </c>
    </row>
    <row r="13" spans="1:4" x14ac:dyDescent="0.3">
      <c r="A13" s="1" t="s">
        <v>12</v>
      </c>
      <c r="B13" s="1">
        <v>5.7000000000000002E-2</v>
      </c>
      <c r="C13" s="1">
        <v>5.6000000000000001E-2</v>
      </c>
      <c r="D13" s="1">
        <v>4.2000000000000003E-2</v>
      </c>
    </row>
    <row r="14" spans="1:4" x14ac:dyDescent="0.3">
      <c r="A14" s="1" t="s">
        <v>13</v>
      </c>
      <c r="B14" s="1">
        <v>4.4999999999999998E-2</v>
      </c>
      <c r="C14" s="1">
        <v>5.0999999999999997E-2</v>
      </c>
      <c r="D14" s="1">
        <v>3.2000000000000001E-2</v>
      </c>
    </row>
    <row r="15" spans="1:4" x14ac:dyDescent="0.3">
      <c r="A15" s="1" t="s">
        <v>14</v>
      </c>
      <c r="B15" s="1">
        <v>3.9E-2</v>
      </c>
      <c r="C15" s="1">
        <v>5.3999999999999999E-2</v>
      </c>
      <c r="D15" s="1">
        <v>3.4000000000000002E-2</v>
      </c>
    </row>
    <row r="16" spans="1:4" x14ac:dyDescent="0.3">
      <c r="A16" s="1" t="s">
        <v>15</v>
      </c>
      <c r="B16" s="1">
        <v>4.2999999999999997E-2</v>
      </c>
      <c r="C16" s="1">
        <v>7.6999999999999999E-2</v>
      </c>
      <c r="D16" s="1">
        <v>3.1E-2</v>
      </c>
    </row>
    <row r="17" spans="1:4" x14ac:dyDescent="0.3">
      <c r="A17" s="1" t="s">
        <v>16</v>
      </c>
      <c r="B17" s="1">
        <v>1.9E-2</v>
      </c>
      <c r="C17" s="1">
        <v>0.06</v>
      </c>
      <c r="D17" s="1">
        <v>3.7999999999999999E-2</v>
      </c>
    </row>
    <row r="18" spans="1:4" x14ac:dyDescent="0.3">
      <c r="A18" s="1" t="s">
        <v>17</v>
      </c>
      <c r="B18" s="1">
        <v>8.0000000000000002E-3</v>
      </c>
      <c r="C18" s="1">
        <v>5.6000000000000001E-2</v>
      </c>
      <c r="D18" s="1">
        <v>4.9000000000000002E-2</v>
      </c>
    </row>
    <row r="19" spans="1:4" x14ac:dyDescent="0.3">
      <c r="A19" s="1" t="s">
        <v>18</v>
      </c>
      <c r="B19" s="1">
        <v>4.0000000000000001E-3</v>
      </c>
      <c r="C19" s="1">
        <v>5.6000000000000001E-2</v>
      </c>
      <c r="D19" s="1">
        <v>5.6000000000000001E-2</v>
      </c>
    </row>
    <row r="20" spans="1:4" x14ac:dyDescent="0.3">
      <c r="A20" s="1" t="s">
        <v>19</v>
      </c>
      <c r="B20" s="1">
        <v>0</v>
      </c>
      <c r="C20" s="1">
        <v>1.7000000000000001E-2</v>
      </c>
      <c r="D20" s="1">
        <v>5.7000000000000002E-2</v>
      </c>
    </row>
    <row r="21" spans="1:4" x14ac:dyDescent="0.3">
      <c r="A21" s="1" t="s">
        <v>20</v>
      </c>
      <c r="B21" s="1">
        <v>0</v>
      </c>
      <c r="C21" s="1">
        <v>5.0000000000000001E-3</v>
      </c>
      <c r="D21" s="1">
        <v>7.1999999999999995E-2</v>
      </c>
    </row>
    <row r="22" spans="1:4" x14ac:dyDescent="0.3">
      <c r="A22" s="1" t="s">
        <v>21</v>
      </c>
      <c r="B22" s="1">
        <v>0</v>
      </c>
      <c r="C22" s="1">
        <v>0</v>
      </c>
      <c r="D22" s="1">
        <v>0.10299999999999999</v>
      </c>
    </row>
    <row r="23" spans="1:4" x14ac:dyDescent="0.3">
      <c r="A23" s="1" t="s">
        <v>22</v>
      </c>
      <c r="B23" s="1">
        <v>0</v>
      </c>
      <c r="C23" s="1">
        <v>0</v>
      </c>
      <c r="D23" s="1">
        <v>0.115</v>
      </c>
    </row>
    <row r="24" spans="1:4" x14ac:dyDescent="0.3">
      <c r="A24" s="1" t="s">
        <v>23</v>
      </c>
      <c r="B24" s="1">
        <v>0</v>
      </c>
      <c r="C24" s="1">
        <v>0</v>
      </c>
      <c r="D24" s="1">
        <v>7.1999999999999995E-2</v>
      </c>
    </row>
    <row r="25" spans="1:4" x14ac:dyDescent="0.3">
      <c r="A25" s="1" t="s">
        <v>24</v>
      </c>
      <c r="B25" s="1">
        <v>0</v>
      </c>
      <c r="C25" s="1">
        <v>0</v>
      </c>
      <c r="D25" s="1">
        <v>8.9999999999999993E-3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4731-41C0-421D-94F9-5DE54BF1B7B5}">
  <dimension ref="A1:J111"/>
  <sheetViews>
    <sheetView tabSelected="1" zoomScale="115" zoomScaleNormal="115" workbookViewId="0">
      <selection activeCell="K8" sqref="K8"/>
    </sheetView>
  </sheetViews>
  <sheetFormatPr defaultRowHeight="14.4" x14ac:dyDescent="0.3"/>
  <sheetData>
    <row r="1" spans="1:10" x14ac:dyDescent="0.3">
      <c r="A1" t="s">
        <v>27</v>
      </c>
    </row>
    <row r="2" spans="1:10" x14ac:dyDescent="0.3">
      <c r="A2" s="2" t="s">
        <v>25</v>
      </c>
      <c r="B2" s="2" t="s">
        <v>26</v>
      </c>
      <c r="C2" s="2" t="s">
        <v>25</v>
      </c>
      <c r="D2" s="2" t="s">
        <v>26</v>
      </c>
      <c r="E2" s="2" t="s">
        <v>25</v>
      </c>
      <c r="F2" s="2" t="s">
        <v>26</v>
      </c>
      <c r="G2" s="2" t="s">
        <v>28</v>
      </c>
      <c r="H2" s="4" t="s">
        <v>26</v>
      </c>
      <c r="I2" s="4" t="s">
        <v>29</v>
      </c>
      <c r="J2" s="4" t="s">
        <v>30</v>
      </c>
    </row>
    <row r="3" spans="1:10" x14ac:dyDescent="0.3">
      <c r="A3" s="3">
        <v>0</v>
      </c>
      <c r="B3" s="3">
        <v>1</v>
      </c>
      <c r="C3" s="3">
        <v>0</v>
      </c>
      <c r="D3" s="3">
        <v>1</v>
      </c>
      <c r="E3" s="3">
        <v>0</v>
      </c>
      <c r="F3" s="3">
        <v>1</v>
      </c>
      <c r="G3">
        <f>EXP(-1)</f>
        <v>0.36787944117144233</v>
      </c>
      <c r="H3">
        <f>EXP(-$A3/27)</f>
        <v>1</v>
      </c>
      <c r="I3">
        <f>EXP(-$A3/34)</f>
        <v>1</v>
      </c>
      <c r="J3">
        <f>EXP(-$A3/44)</f>
        <v>1</v>
      </c>
    </row>
    <row r="4" spans="1:10" x14ac:dyDescent="0.3">
      <c r="A4" s="3">
        <v>1</v>
      </c>
      <c r="B4" s="3">
        <v>0.95599999999999996</v>
      </c>
      <c r="C4" s="3">
        <v>1</v>
      </c>
      <c r="D4" s="3">
        <v>0.96199999999999997</v>
      </c>
      <c r="E4" s="3">
        <v>1</v>
      </c>
      <c r="F4" s="3">
        <v>0.97399999999999998</v>
      </c>
      <c r="G4">
        <f t="shared" ref="G4:G27" si="0">EXP(-1)</f>
        <v>0.36787944117144233</v>
      </c>
      <c r="H4">
        <f t="shared" ref="H4:H27" si="1">EXP(-$A4/27)</f>
        <v>0.96364044430128626</v>
      </c>
      <c r="I4">
        <f t="shared" ref="I4:I27" si="2">EXP(-$A4/34)</f>
        <v>0.97101655179243718</v>
      </c>
      <c r="J4">
        <f t="shared" ref="J4:J27" si="3">EXP(-$A4/44)</f>
        <v>0.97752904625299208</v>
      </c>
    </row>
    <row r="5" spans="1:10" x14ac:dyDescent="0.3">
      <c r="A5" s="3">
        <v>2</v>
      </c>
      <c r="B5" s="3">
        <v>0.90900000000000003</v>
      </c>
      <c r="C5" s="3">
        <v>2</v>
      </c>
      <c r="D5" s="3">
        <v>0.92600000000000005</v>
      </c>
      <c r="E5" s="3">
        <v>2</v>
      </c>
      <c r="F5" s="3">
        <v>0.94899999999999995</v>
      </c>
      <c r="G5">
        <f t="shared" si="0"/>
        <v>0.36787944117144233</v>
      </c>
      <c r="H5">
        <f t="shared" si="1"/>
        <v>0.92860290589318029</v>
      </c>
      <c r="I5">
        <f t="shared" si="2"/>
        <v>0.94287314385487497</v>
      </c>
      <c r="J5">
        <f t="shared" si="3"/>
        <v>0.9555630362682842</v>
      </c>
    </row>
    <row r="6" spans="1:10" x14ac:dyDescent="0.3">
      <c r="A6" s="3">
        <v>3</v>
      </c>
      <c r="B6" s="3">
        <v>0.876</v>
      </c>
      <c r="C6" s="3">
        <v>3</v>
      </c>
      <c r="D6" s="3">
        <v>0.90100000000000002</v>
      </c>
      <c r="E6" s="3">
        <v>3</v>
      </c>
      <c r="F6" s="3">
        <v>0.92900000000000005</v>
      </c>
      <c r="G6">
        <f t="shared" si="0"/>
        <v>0.36787944117144233</v>
      </c>
      <c r="H6">
        <f t="shared" si="1"/>
        <v>0.89483931681436979</v>
      </c>
      <c r="I6">
        <f t="shared" si="2"/>
        <v>0.91554542892365531</v>
      </c>
      <c r="J6">
        <f t="shared" si="3"/>
        <v>0.93409062347794913</v>
      </c>
    </row>
    <row r="7" spans="1:10" x14ac:dyDescent="0.3">
      <c r="A7" s="3">
        <v>4</v>
      </c>
      <c r="B7" s="3">
        <v>0.85099999999999998</v>
      </c>
      <c r="C7" s="3">
        <v>4</v>
      </c>
      <c r="D7" s="3">
        <v>0.88</v>
      </c>
      <c r="E7" s="3">
        <v>4</v>
      </c>
      <c r="F7" s="3">
        <v>0.91300000000000003</v>
      </c>
      <c r="G7">
        <f t="shared" si="0"/>
        <v>0.36787944117144233</v>
      </c>
      <c r="H7">
        <f t="shared" si="1"/>
        <v>0.86230335683325876</v>
      </c>
      <c r="I7">
        <f t="shared" si="2"/>
        <v>0.88900976540277565</v>
      </c>
      <c r="J7">
        <f t="shared" si="3"/>
        <v>0.9131007162822623</v>
      </c>
    </row>
    <row r="8" spans="1:10" x14ac:dyDescent="0.3">
      <c r="A8" s="3">
        <v>5</v>
      </c>
      <c r="B8" s="3">
        <v>0.82699999999999996</v>
      </c>
      <c r="C8" s="3">
        <v>5</v>
      </c>
      <c r="D8" s="3">
        <v>0.86199999999999999</v>
      </c>
      <c r="E8" s="3">
        <v>5</v>
      </c>
      <c r="F8" s="3">
        <v>0.89700000000000002</v>
      </c>
      <c r="G8">
        <f t="shared" si="0"/>
        <v>0.36787944117144233</v>
      </c>
      <c r="H8">
        <f t="shared" si="1"/>
        <v>0.830950389901292</v>
      </c>
      <c r="I8">
        <f t="shared" si="2"/>
        <v>0.86324319691120677</v>
      </c>
      <c r="J8">
        <f t="shared" si="3"/>
        <v>0.89258247232032384</v>
      </c>
    </row>
    <row r="9" spans="1:10" x14ac:dyDescent="0.3">
      <c r="A9" s="3">
        <v>6</v>
      </c>
      <c r="B9" s="3">
        <v>0.80100000000000005</v>
      </c>
      <c r="C9" s="3">
        <v>6</v>
      </c>
      <c r="D9" s="3">
        <v>0.84</v>
      </c>
      <c r="E9" s="3">
        <v>6</v>
      </c>
      <c r="F9" s="3">
        <v>0.879</v>
      </c>
      <c r="G9">
        <f t="shared" si="0"/>
        <v>0.36787944117144233</v>
      </c>
      <c r="H9">
        <f t="shared" si="1"/>
        <v>0.80073740291680806</v>
      </c>
      <c r="I9">
        <f t="shared" si="2"/>
        <v>0.8382234324229999</v>
      </c>
      <c r="J9">
        <f t="shared" si="3"/>
        <v>0.87252529286942382</v>
      </c>
    </row>
    <row r="10" spans="1:10" x14ac:dyDescent="0.3">
      <c r="A10" s="3">
        <v>7</v>
      </c>
      <c r="B10" s="3">
        <v>0.76900000000000002</v>
      </c>
      <c r="C10" s="3">
        <v>7</v>
      </c>
      <c r="D10" s="3">
        <v>0.81399999999999995</v>
      </c>
      <c r="E10" s="3">
        <v>7</v>
      </c>
      <c r="F10" s="3">
        <v>0.85899999999999999</v>
      </c>
      <c r="G10">
        <f t="shared" si="0"/>
        <v>0.36787944117144233</v>
      </c>
      <c r="H10">
        <f t="shared" si="1"/>
        <v>0.77162294671541098</v>
      </c>
      <c r="I10">
        <f t="shared" si="2"/>
        <v>0.8139288269830024</v>
      </c>
      <c r="J10">
        <f t="shared" si="3"/>
        <v>0.85291881737026043</v>
      </c>
    </row>
    <row r="11" spans="1:10" x14ac:dyDescent="0.3">
      <c r="A11" s="3">
        <v>8</v>
      </c>
      <c r="B11" s="3">
        <v>0.73899999999999999</v>
      </c>
      <c r="C11" s="3">
        <v>8</v>
      </c>
      <c r="D11" s="3">
        <v>0.78800000000000003</v>
      </c>
      <c r="E11" s="3">
        <v>8</v>
      </c>
      <c r="F11" s="3">
        <v>0.83899999999999997</v>
      </c>
      <c r="G11">
        <f t="shared" si="0"/>
        <v>0.36787944117144233</v>
      </c>
      <c r="H11">
        <f t="shared" si="1"/>
        <v>0.74356707920590637</v>
      </c>
      <c r="I11">
        <f t="shared" si="2"/>
        <v>0.79033836298149818</v>
      </c>
      <c r="J11">
        <f t="shared" si="3"/>
        <v>0.83375291807518059</v>
      </c>
    </row>
    <row r="12" spans="1:10" x14ac:dyDescent="0.3">
      <c r="A12" s="3">
        <v>9</v>
      </c>
      <c r="B12" s="3">
        <v>0.71099999999999997</v>
      </c>
      <c r="C12" s="3">
        <v>9</v>
      </c>
      <c r="D12" s="3">
        <v>0.76400000000000001</v>
      </c>
      <c r="E12" s="3">
        <v>9</v>
      </c>
      <c r="F12" s="3">
        <v>0.81899999999999995</v>
      </c>
      <c r="G12">
        <f t="shared" si="0"/>
        <v>0.36787944117144233</v>
      </c>
      <c r="H12">
        <f t="shared" si="1"/>
        <v>0.71653131057378927</v>
      </c>
      <c r="I12">
        <f t="shared" si="2"/>
        <v>0.76743163197157405</v>
      </c>
      <c r="J12">
        <f t="shared" si="3"/>
        <v>0.81501769481668029</v>
      </c>
    </row>
    <row r="13" spans="1:10" x14ac:dyDescent="0.3">
      <c r="A13" s="3">
        <v>10</v>
      </c>
      <c r="B13" s="3">
        <v>0.68200000000000005</v>
      </c>
      <c r="C13" s="3">
        <v>10</v>
      </c>
      <c r="D13" s="3">
        <v>0.74</v>
      </c>
      <c r="E13" s="3">
        <v>10</v>
      </c>
      <c r="F13" s="3">
        <v>0.8</v>
      </c>
      <c r="G13">
        <f t="shared" si="0"/>
        <v>0.36787944117144233</v>
      </c>
      <c r="H13">
        <f t="shared" si="1"/>
        <v>0.69047855047710915</v>
      </c>
      <c r="I13">
        <f t="shared" si="2"/>
        <v>0.7451888170134805</v>
      </c>
      <c r="J13">
        <f t="shared" si="3"/>
        <v>0.79670346989346164</v>
      </c>
    </row>
    <row r="14" spans="1:10" x14ac:dyDescent="0.3">
      <c r="A14" s="3">
        <v>11</v>
      </c>
      <c r="B14" s="3">
        <v>0.65400000000000003</v>
      </c>
      <c r="C14" s="3">
        <v>11</v>
      </c>
      <c r="D14" s="3">
        <v>0.71599999999999997</v>
      </c>
      <c r="E14" s="3">
        <v>11</v>
      </c>
      <c r="F14" s="3">
        <v>0.78200000000000003</v>
      </c>
      <c r="G14">
        <f t="shared" si="0"/>
        <v>0.36787944117144233</v>
      </c>
      <c r="H14">
        <f t="shared" si="1"/>
        <v>0.66537305716226958</v>
      </c>
      <c r="I14">
        <f t="shared" si="2"/>
        <v>0.72359067553071532</v>
      </c>
      <c r="J14">
        <f t="shared" si="3"/>
        <v>0.77880078307140488</v>
      </c>
    </row>
    <row r="15" spans="1:10" x14ac:dyDescent="0.3">
      <c r="A15" s="3">
        <v>12</v>
      </c>
      <c r="B15" s="3">
        <v>0.629</v>
      </c>
      <c r="C15" s="3">
        <v>12</v>
      </c>
      <c r="D15" s="3">
        <v>0.69399999999999995</v>
      </c>
      <c r="E15" s="3">
        <v>12</v>
      </c>
      <c r="F15" s="3">
        <v>0.76400000000000001</v>
      </c>
      <c r="G15">
        <f t="shared" si="0"/>
        <v>0.36787944117144233</v>
      </c>
      <c r="H15">
        <f t="shared" si="1"/>
        <v>0.64118038842995462</v>
      </c>
      <c r="I15">
        <f t="shared" si="2"/>
        <v>0.70261852266299551</v>
      </c>
      <c r="J15">
        <f t="shared" si="3"/>
        <v>0.76130038669687372</v>
      </c>
    </row>
    <row r="16" spans="1:10" x14ac:dyDescent="0.3">
      <c r="A16" s="3">
        <v>13</v>
      </c>
      <c r="B16" s="3">
        <v>0.60699999999999998</v>
      </c>
      <c r="C16" s="3">
        <v>13</v>
      </c>
      <c r="D16" s="3">
        <v>0.67100000000000004</v>
      </c>
      <c r="E16" s="3">
        <v>13</v>
      </c>
      <c r="F16" s="3">
        <v>0.746</v>
      </c>
      <c r="G16">
        <f t="shared" si="0"/>
        <v>0.36787944117144233</v>
      </c>
      <c r="H16">
        <f t="shared" si="1"/>
        <v>0.61786735438391271</v>
      </c>
      <c r="I16">
        <f t="shared" si="2"/>
        <v>0.68225421510171835</v>
      </c>
      <c r="J16">
        <f t="shared" si="3"/>
        <v>0.74419324091982897</v>
      </c>
    </row>
    <row r="17" spans="1:10" x14ac:dyDescent="0.3">
      <c r="A17" s="3">
        <v>14</v>
      </c>
      <c r="B17" s="3">
        <v>0.58499999999999996</v>
      </c>
      <c r="C17" s="3">
        <v>14</v>
      </c>
      <c r="D17" s="3">
        <v>0.65500000000000003</v>
      </c>
      <c r="E17" s="3">
        <v>14</v>
      </c>
      <c r="F17" s="3">
        <v>0.72899999999999998</v>
      </c>
      <c r="G17">
        <f t="shared" si="0"/>
        <v>0.36787944117144233</v>
      </c>
      <c r="H17">
        <f t="shared" si="1"/>
        <v>0.59540197189777389</v>
      </c>
      <c r="I17">
        <f t="shared" si="2"/>
        <v>0.66248013539392625</v>
      </c>
      <c r="J17">
        <f t="shared" si="3"/>
        <v>0.72747050902428356</v>
      </c>
    </row>
    <row r="18" spans="1:10" x14ac:dyDescent="0.3">
      <c r="A18" s="3">
        <v>15</v>
      </c>
      <c r="B18" s="3">
        <v>0.56399999999999995</v>
      </c>
      <c r="C18" s="3">
        <v>15</v>
      </c>
      <c r="D18" s="3">
        <v>0.63700000000000001</v>
      </c>
      <c r="E18" s="3">
        <v>15</v>
      </c>
      <c r="F18" s="3">
        <v>0.71299999999999997</v>
      </c>
      <c r="G18">
        <f t="shared" si="0"/>
        <v>0.36787944117144233</v>
      </c>
      <c r="H18">
        <f t="shared" si="1"/>
        <v>0.57375342073743274</v>
      </c>
      <c r="I18">
        <f t="shared" si="2"/>
        <v>0.64327917670119716</v>
      </c>
      <c r="J18">
        <f t="shared" si="3"/>
        <v>0.71112355286368667</v>
      </c>
    </row>
    <row r="19" spans="1:10" x14ac:dyDescent="0.3">
      <c r="A19" s="3">
        <v>16</v>
      </c>
      <c r="B19" s="3">
        <v>0.54500000000000004</v>
      </c>
      <c r="C19" s="3">
        <v>16</v>
      </c>
      <c r="D19" s="3">
        <v>0.61899999999999999</v>
      </c>
      <c r="E19" s="3">
        <v>16</v>
      </c>
      <c r="F19" s="3">
        <v>0.69699999999999995</v>
      </c>
      <c r="G19">
        <f t="shared" si="0"/>
        <v>0.36787944117144233</v>
      </c>
      <c r="H19">
        <f t="shared" si="1"/>
        <v>0.55289200127880256</v>
      </c>
      <c r="I19">
        <f t="shared" si="2"/>
        <v>0.62463472800027442</v>
      </c>
      <c r="J19">
        <f t="shared" si="3"/>
        <v>0.69514392839887873</v>
      </c>
    </row>
    <row r="20" spans="1:10" x14ac:dyDescent="0.3">
      <c r="A20" s="3">
        <v>17</v>
      </c>
      <c r="B20" s="3">
        <v>0.52700000000000002</v>
      </c>
      <c r="C20" s="3">
        <v>17</v>
      </c>
      <c r="D20" s="3">
        <v>0.60199999999999998</v>
      </c>
      <c r="E20" s="3">
        <v>17</v>
      </c>
      <c r="F20" s="3">
        <v>0.68200000000000005</v>
      </c>
      <c r="G20">
        <f t="shared" si="0"/>
        <v>0.36787944117144233</v>
      </c>
      <c r="H20">
        <f t="shared" si="1"/>
        <v>0.5327890937629326</v>
      </c>
      <c r="I20">
        <f t="shared" si="2"/>
        <v>0.60653065971263342</v>
      </c>
      <c r="J20">
        <f t="shared" si="3"/>
        <v>0.67952338133631407</v>
      </c>
    </row>
    <row r="21" spans="1:10" x14ac:dyDescent="0.3">
      <c r="A21" s="3">
        <v>18</v>
      </c>
      <c r="B21" s="3">
        <v>0.50800000000000001</v>
      </c>
      <c r="C21" s="3">
        <v>18</v>
      </c>
      <c r="D21" s="3">
        <v>0.58399999999999996</v>
      </c>
      <c r="E21" s="3">
        <v>18</v>
      </c>
      <c r="F21" s="3">
        <v>0.66700000000000004</v>
      </c>
      <c r="G21">
        <f t="shared" si="0"/>
        <v>0.36787944117144233</v>
      </c>
      <c r="H21">
        <f t="shared" si="1"/>
        <v>0.51341711903259202</v>
      </c>
      <c r="I21">
        <f t="shared" si="2"/>
        <v>0.58895130975055343</v>
      </c>
      <c r="J21">
        <f t="shared" si="3"/>
        <v>0.66425384286429534</v>
      </c>
    </row>
    <row r="22" spans="1:10" x14ac:dyDescent="0.3">
      <c r="A22" s="3">
        <v>19</v>
      </c>
      <c r="B22" s="3">
        <v>0.49099999999999999</v>
      </c>
      <c r="C22" s="3">
        <v>19</v>
      </c>
      <c r="D22" s="3">
        <v>0.56799999999999995</v>
      </c>
      <c r="E22" s="3">
        <v>19</v>
      </c>
      <c r="F22" s="3">
        <v>0.65300000000000002</v>
      </c>
      <c r="G22">
        <f t="shared" si="0"/>
        <v>0.36787944117144233</v>
      </c>
      <c r="H22">
        <f t="shared" si="1"/>
        <v>0.49474950069645335</v>
      </c>
      <c r="I22">
        <f t="shared" si="2"/>
        <v>0.57188146996762201</v>
      </c>
      <c r="J22">
        <f t="shared" si="3"/>
        <v>0.64932742548501943</v>
      </c>
    </row>
    <row r="23" spans="1:10" x14ac:dyDescent="0.3">
      <c r="A23" s="3">
        <v>20</v>
      </c>
      <c r="B23" s="3">
        <v>0.47399999999999998</v>
      </c>
      <c r="C23" s="3">
        <v>20</v>
      </c>
      <c r="D23" s="3">
        <v>0.55200000000000005</v>
      </c>
      <c r="E23" s="3">
        <v>20</v>
      </c>
      <c r="F23" s="3">
        <v>0.63900000000000001</v>
      </c>
      <c r="G23">
        <f t="shared" si="0"/>
        <v>0.36787944117144233</v>
      </c>
      <c r="H23">
        <f t="shared" si="1"/>
        <v>0.47676062866896984</v>
      </c>
      <c r="I23">
        <f t="shared" si="2"/>
        <v>0.55530637300195052</v>
      </c>
      <c r="J23">
        <f t="shared" si="3"/>
        <v>0.63473641894028188</v>
      </c>
    </row>
    <row r="24" spans="1:10" x14ac:dyDescent="0.3">
      <c r="A24" s="3">
        <v>21</v>
      </c>
      <c r="B24" s="3">
        <v>0.45700000000000002</v>
      </c>
      <c r="C24" s="3">
        <v>21</v>
      </c>
      <c r="D24" s="3">
        <v>0.53600000000000003</v>
      </c>
      <c r="E24" s="3">
        <v>21</v>
      </c>
      <c r="F24" s="3">
        <v>0.623</v>
      </c>
      <c r="G24">
        <f t="shared" si="0"/>
        <v>0.36787944117144233</v>
      </c>
      <c r="H24">
        <f t="shared" si="1"/>
        <v>0.45942582403592663</v>
      </c>
      <c r="I24">
        <f t="shared" si="2"/>
        <v>0.53921167950071902</v>
      </c>
      <c r="J24">
        <f t="shared" si="3"/>
        <v>0.62047328622873332</v>
      </c>
    </row>
    <row r="25" spans="1:10" x14ac:dyDescent="0.3">
      <c r="A25" s="3">
        <v>22</v>
      </c>
      <c r="B25" s="3">
        <v>0.441</v>
      </c>
      <c r="C25" s="3">
        <v>22</v>
      </c>
      <c r="D25" s="3">
        <v>0.52100000000000002</v>
      </c>
      <c r="E25" s="3">
        <v>22</v>
      </c>
      <c r="F25" s="3">
        <v>0.60799999999999998</v>
      </c>
      <c r="G25">
        <f t="shared" si="0"/>
        <v>0.36787944117144233</v>
      </c>
      <c r="H25">
        <f t="shared" si="1"/>
        <v>0.44272130519746489</v>
      </c>
      <c r="I25">
        <f t="shared" si="2"/>
        <v>0.52358346571499692</v>
      </c>
      <c r="J25">
        <f t="shared" si="3"/>
        <v>0.60653065971263342</v>
      </c>
    </row>
    <row r="26" spans="1:10" x14ac:dyDescent="0.3">
      <c r="A26" s="3">
        <v>23</v>
      </c>
      <c r="B26" s="3">
        <v>0.42499999999999999</v>
      </c>
      <c r="C26" s="3">
        <v>23</v>
      </c>
      <c r="D26" s="3">
        <v>0.505</v>
      </c>
      <c r="E26" s="3">
        <v>23</v>
      </c>
      <c r="F26" s="3">
        <v>0.59299999999999997</v>
      </c>
      <c r="G26">
        <f t="shared" si="0"/>
        <v>0.36787944117144233</v>
      </c>
      <c r="H26">
        <f t="shared" si="1"/>
        <v>0.42662415524213038</v>
      </c>
      <c r="I26">
        <f t="shared" si="2"/>
        <v>0.50840821145411008</v>
      </c>
      <c r="J26">
        <f t="shared" si="3"/>
        <v>0.59290133731208861</v>
      </c>
    </row>
    <row r="27" spans="1:10" x14ac:dyDescent="0.3">
      <c r="A27" s="3">
        <v>24</v>
      </c>
      <c r="B27" s="3">
        <v>0.41</v>
      </c>
      <c r="C27" s="3">
        <v>24</v>
      </c>
      <c r="D27" s="3">
        <v>0.49099999999999999</v>
      </c>
      <c r="E27" s="3">
        <v>24</v>
      </c>
      <c r="F27" s="3">
        <v>0.57899999999999996</v>
      </c>
      <c r="G27">
        <f t="shared" si="0"/>
        <v>0.36787944117144233</v>
      </c>
      <c r="H27">
        <f t="shared" si="1"/>
        <v>0.41111229050718745</v>
      </c>
      <c r="I27">
        <f t="shared" si="2"/>
        <v>0.49367278838913031</v>
      </c>
      <c r="J27">
        <f t="shared" si="3"/>
        <v>0.5795782787848095</v>
      </c>
    </row>
    <row r="29" spans="1:10" x14ac:dyDescent="0.3">
      <c r="A29" t="s">
        <v>31</v>
      </c>
    </row>
    <row r="30" spans="1:10" x14ac:dyDescent="0.3">
      <c r="A30" s="2" t="s">
        <v>25</v>
      </c>
      <c r="B30" s="2" t="s">
        <v>26</v>
      </c>
      <c r="C30" s="2" t="s">
        <v>25</v>
      </c>
      <c r="D30" s="2" t="s">
        <v>26</v>
      </c>
      <c r="E30" s="2" t="s">
        <v>25</v>
      </c>
      <c r="F30" s="2" t="s">
        <v>26</v>
      </c>
      <c r="G30" s="2" t="s">
        <v>28</v>
      </c>
      <c r="H30" s="4" t="s">
        <v>26</v>
      </c>
      <c r="I30" s="4" t="s">
        <v>29</v>
      </c>
      <c r="J30" s="4" t="s">
        <v>30</v>
      </c>
    </row>
    <row r="31" spans="1:10" x14ac:dyDescent="0.3">
      <c r="A31" s="3">
        <v>0</v>
      </c>
      <c r="B31" s="3">
        <v>1</v>
      </c>
      <c r="C31" s="3">
        <v>0</v>
      </c>
      <c r="D31" s="3">
        <v>1</v>
      </c>
      <c r="E31" s="3">
        <v>0</v>
      </c>
      <c r="F31" s="3">
        <v>1</v>
      </c>
      <c r="G31">
        <f>EXP(-1)</f>
        <v>0.36787944117144233</v>
      </c>
      <c r="H31">
        <f>EXP(-$A31/18)</f>
        <v>1</v>
      </c>
      <c r="I31">
        <f>EXP(-$A31/20.5)</f>
        <v>1</v>
      </c>
      <c r="J31">
        <f>EXP(-$A31/21)</f>
        <v>1</v>
      </c>
    </row>
    <row r="32" spans="1:10" x14ac:dyDescent="0.3">
      <c r="A32" s="3">
        <v>2</v>
      </c>
      <c r="B32" s="3">
        <v>0.872</v>
      </c>
      <c r="C32" s="3">
        <v>2</v>
      </c>
      <c r="D32" s="3">
        <v>0.9</v>
      </c>
      <c r="E32" s="3">
        <v>2</v>
      </c>
      <c r="F32" s="3">
        <v>0.91600000000000004</v>
      </c>
      <c r="G32">
        <f t="shared" ref="G32:G55" si="4">EXP(-1)</f>
        <v>0.36787944117144233</v>
      </c>
      <c r="H32">
        <f t="shared" ref="H32:H55" si="5">EXP(-$A32/18)</f>
        <v>0.89483931681436979</v>
      </c>
      <c r="I32">
        <f t="shared" ref="I32:I55" si="6">EXP(-$A32/20.5)</f>
        <v>0.90704703212369453</v>
      </c>
      <c r="J32">
        <f t="shared" ref="J32:J55" si="7">EXP(-$A32/21)</f>
        <v>0.90915644287671304</v>
      </c>
    </row>
    <row r="33" spans="1:10" x14ac:dyDescent="0.3">
      <c r="A33" s="3">
        <v>4</v>
      </c>
      <c r="B33" s="3">
        <v>0.78700000000000003</v>
      </c>
      <c r="C33" s="3">
        <v>4</v>
      </c>
      <c r="D33" s="3">
        <v>0.81499999999999995</v>
      </c>
      <c r="E33" s="3">
        <v>4</v>
      </c>
      <c r="F33" s="3">
        <v>0.82699999999999996</v>
      </c>
      <c r="G33">
        <f t="shared" si="4"/>
        <v>0.36787944117144233</v>
      </c>
      <c r="H33">
        <f t="shared" si="5"/>
        <v>0.80073740291680806</v>
      </c>
      <c r="I33">
        <f t="shared" si="6"/>
        <v>0.82273431848440248</v>
      </c>
      <c r="J33">
        <f t="shared" si="7"/>
        <v>0.82656543762423806</v>
      </c>
    </row>
    <row r="34" spans="1:10" x14ac:dyDescent="0.3">
      <c r="A34" s="3">
        <v>6</v>
      </c>
      <c r="B34" s="3">
        <v>0.70299999999999996</v>
      </c>
      <c r="C34" s="3">
        <v>6</v>
      </c>
      <c r="D34" s="3">
        <v>0.73899999999999999</v>
      </c>
      <c r="E34" s="3">
        <v>6</v>
      </c>
      <c r="F34" s="3">
        <v>0.749</v>
      </c>
      <c r="G34">
        <f t="shared" si="4"/>
        <v>0.36787944117144233</v>
      </c>
      <c r="H34">
        <f t="shared" si="5"/>
        <v>0.71653131057378927</v>
      </c>
      <c r="I34">
        <f t="shared" si="6"/>
        <v>0.74625872180758768</v>
      </c>
      <c r="J34">
        <f t="shared" si="7"/>
        <v>0.75147729307528599</v>
      </c>
    </row>
    <row r="35" spans="1:10" x14ac:dyDescent="0.3">
      <c r="A35" s="3">
        <v>8</v>
      </c>
      <c r="B35" s="3">
        <v>0.63</v>
      </c>
      <c r="C35" s="3">
        <v>8</v>
      </c>
      <c r="D35" s="3">
        <v>0.66800000000000004</v>
      </c>
      <c r="E35" s="3">
        <v>8</v>
      </c>
      <c r="F35" s="3">
        <v>0.68200000000000005</v>
      </c>
      <c r="G35">
        <f t="shared" si="4"/>
        <v>0.36787944117144233</v>
      </c>
      <c r="H35">
        <f t="shared" si="5"/>
        <v>0.64118038842995462</v>
      </c>
      <c r="I35">
        <f t="shared" si="6"/>
        <v>0.67689175881199415</v>
      </c>
      <c r="J35">
        <f t="shared" si="7"/>
        <v>0.68321042267494825</v>
      </c>
    </row>
    <row r="36" spans="1:10" x14ac:dyDescent="0.3">
      <c r="A36" s="3">
        <v>10</v>
      </c>
      <c r="B36" s="3">
        <v>0.55000000000000004</v>
      </c>
      <c r="C36" s="3">
        <v>10</v>
      </c>
      <c r="D36" s="3">
        <v>0.59099999999999997</v>
      </c>
      <c r="E36" s="3">
        <v>10</v>
      </c>
      <c r="F36" s="3">
        <v>0.60099999999999998</v>
      </c>
      <c r="G36">
        <f t="shared" si="4"/>
        <v>0.36787944117144233</v>
      </c>
      <c r="H36">
        <f t="shared" si="5"/>
        <v>0.57375342073743274</v>
      </c>
      <c r="I36">
        <f t="shared" si="6"/>
        <v>0.61397266089940694</v>
      </c>
      <c r="J36">
        <f t="shared" si="7"/>
        <v>0.62114515761545153</v>
      </c>
    </row>
    <row r="37" spans="1:10" x14ac:dyDescent="0.3">
      <c r="A37" s="3">
        <v>12</v>
      </c>
      <c r="B37" s="3">
        <v>0.49099999999999999</v>
      </c>
      <c r="C37" s="3">
        <v>12</v>
      </c>
      <c r="D37" s="3">
        <v>0.53100000000000003</v>
      </c>
      <c r="E37" s="3">
        <v>12</v>
      </c>
      <c r="F37" s="3">
        <v>0.54600000000000004</v>
      </c>
      <c r="G37">
        <f t="shared" si="4"/>
        <v>0.36787944117144233</v>
      </c>
      <c r="H37">
        <f t="shared" si="5"/>
        <v>0.51341711903259202</v>
      </c>
      <c r="I37">
        <f t="shared" si="6"/>
        <v>0.55690207987389462</v>
      </c>
      <c r="J37">
        <f t="shared" si="7"/>
        <v>0.56471812200775928</v>
      </c>
    </row>
    <row r="38" spans="1:10" x14ac:dyDescent="0.3">
      <c r="A38" s="3">
        <v>14</v>
      </c>
      <c r="B38" s="3">
        <v>0.44400000000000001</v>
      </c>
      <c r="C38" s="3">
        <v>14</v>
      </c>
      <c r="D38" s="3">
        <v>0.48699999999999999</v>
      </c>
      <c r="E38" s="3">
        <v>14</v>
      </c>
      <c r="F38" s="3">
        <v>0.501</v>
      </c>
      <c r="G38">
        <f t="shared" si="4"/>
        <v>0.36787944117144233</v>
      </c>
      <c r="H38">
        <f t="shared" si="5"/>
        <v>0.45942582403592663</v>
      </c>
      <c r="I38">
        <f t="shared" si="6"/>
        <v>0.50513637873312867</v>
      </c>
      <c r="J38">
        <f t="shared" si="7"/>
        <v>0.51341711903259202</v>
      </c>
    </row>
    <row r="39" spans="1:10" x14ac:dyDescent="0.3">
      <c r="A39" s="3">
        <v>16</v>
      </c>
      <c r="B39" s="3">
        <v>0.39300000000000002</v>
      </c>
      <c r="C39" s="3">
        <v>16</v>
      </c>
      <c r="D39" s="3">
        <v>0.443</v>
      </c>
      <c r="E39" s="3">
        <v>16</v>
      </c>
      <c r="F39" s="3">
        <v>0.45900000000000002</v>
      </c>
      <c r="G39">
        <f t="shared" si="4"/>
        <v>0.36787944117144233</v>
      </c>
      <c r="H39">
        <f t="shared" si="5"/>
        <v>0.41111229050718745</v>
      </c>
      <c r="I39">
        <f t="shared" si="6"/>
        <v>0.45818245314759493</v>
      </c>
      <c r="J39">
        <f t="shared" si="7"/>
        <v>0.4667764816516814</v>
      </c>
    </row>
    <row r="40" spans="1:10" x14ac:dyDescent="0.3">
      <c r="A40" s="3">
        <v>18</v>
      </c>
      <c r="B40" s="3">
        <v>0.34699999999999998</v>
      </c>
      <c r="C40" s="3">
        <v>18</v>
      </c>
      <c r="D40" s="3">
        <v>0.40200000000000002</v>
      </c>
      <c r="E40" s="3">
        <v>18</v>
      </c>
      <c r="F40" s="3">
        <v>0.41699999999999998</v>
      </c>
      <c r="G40">
        <f t="shared" si="4"/>
        <v>0.36787944117144233</v>
      </c>
      <c r="H40">
        <f t="shared" si="5"/>
        <v>0.36787944117144233</v>
      </c>
      <c r="I40">
        <f t="shared" si="6"/>
        <v>0.41559303429867966</v>
      </c>
      <c r="J40">
        <f t="shared" si="7"/>
        <v>0.42437284567694999</v>
      </c>
    </row>
    <row r="41" spans="1:10" x14ac:dyDescent="0.3">
      <c r="A41" s="3">
        <v>20</v>
      </c>
      <c r="B41" s="3">
        <v>0.29899999999999999</v>
      </c>
      <c r="C41" s="3">
        <v>20</v>
      </c>
      <c r="D41" s="3">
        <v>0.35799999999999998</v>
      </c>
      <c r="E41" s="3">
        <v>20</v>
      </c>
      <c r="F41" s="3">
        <v>0.375</v>
      </c>
      <c r="G41">
        <f t="shared" si="4"/>
        <v>0.36787944117144233</v>
      </c>
      <c r="H41">
        <f t="shared" si="5"/>
        <v>0.32919298780790557</v>
      </c>
      <c r="I41">
        <f t="shared" si="6"/>
        <v>0.37696242833189819</v>
      </c>
      <c r="J41">
        <f t="shared" si="7"/>
        <v>0.38582130682912413</v>
      </c>
    </row>
    <row r="42" spans="1:10" x14ac:dyDescent="0.3">
      <c r="A42" s="3">
        <v>22</v>
      </c>
      <c r="B42" s="3">
        <v>0.245</v>
      </c>
      <c r="C42" s="3">
        <v>22</v>
      </c>
      <c r="D42" s="3">
        <v>0.313</v>
      </c>
      <c r="E42" s="3">
        <v>22</v>
      </c>
      <c r="F42" s="3">
        <v>0.33500000000000002</v>
      </c>
      <c r="G42">
        <f t="shared" si="4"/>
        <v>0.36787944117144233</v>
      </c>
      <c r="H42">
        <f t="shared" si="5"/>
        <v>0.29457482831010734</v>
      </c>
      <c r="I42">
        <f t="shared" si="6"/>
        <v>0.34192265184058912</v>
      </c>
      <c r="J42">
        <f t="shared" si="7"/>
        <v>0.35077192690281139</v>
      </c>
    </row>
    <row r="43" spans="1:10" x14ac:dyDescent="0.3">
      <c r="A43" s="3">
        <v>24</v>
      </c>
      <c r="B43" s="3">
        <v>0.19500000000000001</v>
      </c>
      <c r="C43" s="3">
        <v>24</v>
      </c>
      <c r="D43" s="3">
        <v>0.27100000000000002</v>
      </c>
      <c r="E43" s="3">
        <v>24</v>
      </c>
      <c r="F43" s="3">
        <v>0.29599999999999999</v>
      </c>
      <c r="G43">
        <f t="shared" si="4"/>
        <v>0.36787944117144233</v>
      </c>
      <c r="H43">
        <f t="shared" si="5"/>
        <v>0.26359713811572677</v>
      </c>
      <c r="I43">
        <f t="shared" si="6"/>
        <v>0.31013992656786965</v>
      </c>
      <c r="J43">
        <f t="shared" si="7"/>
        <v>0.31890655732397044</v>
      </c>
    </row>
    <row r="44" spans="1:10" x14ac:dyDescent="0.3">
      <c r="A44" s="3">
        <v>26</v>
      </c>
      <c r="B44" s="3">
        <v>0.154</v>
      </c>
      <c r="C44" s="3">
        <v>26</v>
      </c>
      <c r="D44" s="3">
        <v>0.23100000000000001</v>
      </c>
      <c r="E44" s="3">
        <v>26</v>
      </c>
      <c r="F44" s="3">
        <v>0.25800000000000001</v>
      </c>
      <c r="G44">
        <f t="shared" si="4"/>
        <v>0.36787944117144233</v>
      </c>
      <c r="H44">
        <f t="shared" si="5"/>
        <v>0.23587708298570001</v>
      </c>
      <c r="I44">
        <f t="shared" si="6"/>
        <v>0.28131149993644672</v>
      </c>
      <c r="J44">
        <f t="shared" si="7"/>
        <v>0.2899359512667195</v>
      </c>
    </row>
    <row r="45" spans="1:10" x14ac:dyDescent="0.3">
      <c r="A45" s="3">
        <v>28</v>
      </c>
      <c r="B45" s="3">
        <v>0.112</v>
      </c>
      <c r="C45" s="3">
        <v>28</v>
      </c>
      <c r="D45" s="3">
        <v>0.20200000000000001</v>
      </c>
      <c r="E45" s="3">
        <v>28</v>
      </c>
      <c r="F45" s="3">
        <v>0.224</v>
      </c>
      <c r="G45">
        <f t="shared" si="4"/>
        <v>0.36787944117144233</v>
      </c>
      <c r="H45">
        <f t="shared" si="5"/>
        <v>0.21107208779109021</v>
      </c>
      <c r="I45">
        <f t="shared" si="6"/>
        <v>0.25516276111961883</v>
      </c>
      <c r="J45">
        <f t="shared" si="7"/>
        <v>0.26359713811572677</v>
      </c>
    </row>
    <row r="46" spans="1:10" x14ac:dyDescent="0.3">
      <c r="A46" s="3">
        <v>30</v>
      </c>
      <c r="B46" s="3">
        <v>7.8E-2</v>
      </c>
      <c r="C46" s="3">
        <v>30</v>
      </c>
      <c r="D46" s="3">
        <v>0.153</v>
      </c>
      <c r="E46" s="3">
        <v>30</v>
      </c>
      <c r="F46" s="3">
        <v>0.182</v>
      </c>
      <c r="G46">
        <f t="shared" si="4"/>
        <v>0.36787944117144233</v>
      </c>
      <c r="H46">
        <f t="shared" si="5"/>
        <v>0.18887560283756183</v>
      </c>
      <c r="I46">
        <f t="shared" si="6"/>
        <v>0.23144462518203751</v>
      </c>
      <c r="J46">
        <f t="shared" si="7"/>
        <v>0.23965103644177579</v>
      </c>
    </row>
    <row r="47" spans="1:10" x14ac:dyDescent="0.3">
      <c r="A47" s="3">
        <v>32</v>
      </c>
      <c r="B47" s="3">
        <v>5.1999999999999998E-2</v>
      </c>
      <c r="C47" s="3">
        <v>32</v>
      </c>
      <c r="D47" s="3">
        <v>0.123</v>
      </c>
      <c r="E47" s="3">
        <v>32</v>
      </c>
      <c r="F47" s="3">
        <v>0.153</v>
      </c>
      <c r="G47">
        <f t="shared" si="4"/>
        <v>0.36787944117144233</v>
      </c>
      <c r="H47">
        <f t="shared" si="5"/>
        <v>0.16901331540606609</v>
      </c>
      <c r="I47">
        <f t="shared" si="6"/>
        <v>0.20993116037234799</v>
      </c>
      <c r="J47">
        <f t="shared" si="7"/>
        <v>0.21788028382312244</v>
      </c>
    </row>
    <row r="48" spans="1:10" x14ac:dyDescent="0.3">
      <c r="A48" s="3">
        <v>34</v>
      </c>
      <c r="B48" s="3">
        <v>2.8000000000000001E-2</v>
      </c>
      <c r="C48" s="3">
        <v>34</v>
      </c>
      <c r="D48" s="3">
        <v>9.7000000000000003E-2</v>
      </c>
      <c r="E48" s="3">
        <v>34</v>
      </c>
      <c r="F48" s="3">
        <v>0.126</v>
      </c>
      <c r="G48">
        <f t="shared" si="4"/>
        <v>0.36787944117144233</v>
      </c>
      <c r="H48">
        <f t="shared" si="5"/>
        <v>0.15123975969049577</v>
      </c>
      <c r="I48">
        <f t="shared" si="6"/>
        <v>0.19041743596602162</v>
      </c>
      <c r="J48">
        <f t="shared" si="7"/>
        <v>0.19808726381359862</v>
      </c>
    </row>
    <row r="49" spans="1:10" x14ac:dyDescent="0.3">
      <c r="A49" s="3">
        <v>36</v>
      </c>
      <c r="B49" s="3">
        <v>8.0000000000000002E-3</v>
      </c>
      <c r="C49" s="3">
        <v>36</v>
      </c>
      <c r="D49" s="3">
        <v>7.0999999999999994E-2</v>
      </c>
      <c r="E49" s="3">
        <v>36</v>
      </c>
      <c r="F49" s="3">
        <v>0.10100000000000001</v>
      </c>
      <c r="G49">
        <f t="shared" si="4"/>
        <v>0.36787944117144233</v>
      </c>
      <c r="H49">
        <f t="shared" si="5"/>
        <v>0.1353352832366127</v>
      </c>
      <c r="I49">
        <f t="shared" si="6"/>
        <v>0.17271757015758354</v>
      </c>
      <c r="J49">
        <f t="shared" si="7"/>
        <v>0.1800923121479524</v>
      </c>
    </row>
    <row r="50" spans="1:10" x14ac:dyDescent="0.3">
      <c r="A50" s="3">
        <v>38</v>
      </c>
      <c r="B50" s="3">
        <v>-1.2E-2</v>
      </c>
      <c r="C50" s="3">
        <v>38</v>
      </c>
      <c r="D50" s="3">
        <v>4.9000000000000002E-2</v>
      </c>
      <c r="E50" s="3">
        <v>38</v>
      </c>
      <c r="F50" s="3">
        <v>8.1000000000000003E-2</v>
      </c>
      <c r="G50">
        <f t="shared" si="4"/>
        <v>0.36787944117144233</v>
      </c>
      <c r="H50">
        <f t="shared" si="5"/>
        <v>0.12110333239232973</v>
      </c>
      <c r="I50">
        <f t="shared" si="6"/>
        <v>0.15666295940705213</v>
      </c>
      <c r="J50">
        <f t="shared" si="7"/>
        <v>0.16373208590187505</v>
      </c>
    </row>
    <row r="51" spans="1:10" x14ac:dyDescent="0.3">
      <c r="A51" s="3">
        <v>40</v>
      </c>
      <c r="B51" s="3">
        <v>-2.7E-2</v>
      </c>
      <c r="C51" s="3">
        <v>40</v>
      </c>
      <c r="D51" s="3">
        <v>3.1E-2</v>
      </c>
      <c r="E51" s="3">
        <v>40</v>
      </c>
      <c r="F51" s="3">
        <v>6.3E-2</v>
      </c>
      <c r="G51">
        <f t="shared" si="4"/>
        <v>0.36787944117144233</v>
      </c>
      <c r="H51">
        <f t="shared" si="5"/>
        <v>0.10836802322189586</v>
      </c>
      <c r="I51">
        <f t="shared" si="6"/>
        <v>0.14210067237388146</v>
      </c>
      <c r="J51">
        <f t="shared" si="7"/>
        <v>0.14885808080333315</v>
      </c>
    </row>
    <row r="52" spans="1:10" x14ac:dyDescent="0.3">
      <c r="A52" s="3">
        <v>42</v>
      </c>
      <c r="B52" s="3">
        <v>-4.3999999999999997E-2</v>
      </c>
      <c r="C52" s="3">
        <v>42</v>
      </c>
      <c r="D52" s="3">
        <v>8.9999999999999993E-3</v>
      </c>
      <c r="E52" s="3">
        <v>42</v>
      </c>
      <c r="F52" s="3">
        <v>4.3999999999999997E-2</v>
      </c>
      <c r="G52">
        <f t="shared" si="4"/>
        <v>0.36787944117144233</v>
      </c>
      <c r="H52">
        <f t="shared" si="5"/>
        <v>9.6971967864405054E-2</v>
      </c>
      <c r="I52">
        <f t="shared" si="6"/>
        <v>0.12889199313951064</v>
      </c>
      <c r="J52">
        <f t="shared" si="7"/>
        <v>0.1353352832366127</v>
      </c>
    </row>
    <row r="53" spans="1:10" x14ac:dyDescent="0.3">
      <c r="A53" s="3">
        <v>44</v>
      </c>
      <c r="B53" s="3">
        <v>-6.4000000000000001E-2</v>
      </c>
      <c r="C53" s="3">
        <v>44</v>
      </c>
      <c r="D53" s="3">
        <v>-1.4E-2</v>
      </c>
      <c r="E53" s="3">
        <v>44</v>
      </c>
      <c r="F53" s="3">
        <v>1.4E-2</v>
      </c>
      <c r="G53">
        <f t="shared" si="4"/>
        <v>0.36787944117144233</v>
      </c>
      <c r="H53">
        <f t="shared" si="5"/>
        <v>8.6774329473929226E-2</v>
      </c>
      <c r="I53">
        <f t="shared" si="6"/>
        <v>0.11691109984170071</v>
      </c>
      <c r="J53">
        <f t="shared" si="7"/>
        <v>0.12304094470311124</v>
      </c>
    </row>
    <row r="54" spans="1:10" x14ac:dyDescent="0.3">
      <c r="A54" s="3">
        <v>46</v>
      </c>
      <c r="B54" s="3">
        <v>-6.4000000000000001E-2</v>
      </c>
      <c r="C54" s="3">
        <v>46</v>
      </c>
      <c r="D54" s="3">
        <v>-2.8000000000000001E-2</v>
      </c>
      <c r="E54" s="3">
        <v>46</v>
      </c>
      <c r="F54" s="3">
        <v>4.0000000000000001E-3</v>
      </c>
      <c r="G54">
        <f t="shared" si="4"/>
        <v>0.36787944117144233</v>
      </c>
      <c r="H54">
        <f t="shared" si="5"/>
        <v>7.7649081703475897E-2</v>
      </c>
      <c r="I54">
        <f t="shared" si="6"/>
        <v>0.10604386613373155</v>
      </c>
      <c r="J54">
        <f t="shared" si="7"/>
        <v>0.11186346761447095</v>
      </c>
    </row>
    <row r="55" spans="1:10" x14ac:dyDescent="0.3">
      <c r="A55" s="3">
        <v>48</v>
      </c>
      <c r="B55" s="3">
        <v>-5.7000000000000002E-2</v>
      </c>
      <c r="C55" s="3">
        <v>48</v>
      </c>
      <c r="D55" s="3">
        <v>-2.8000000000000001E-2</v>
      </c>
      <c r="E55" s="3">
        <v>48</v>
      </c>
      <c r="F55" s="3">
        <v>-1.0999999999999999E-2</v>
      </c>
      <c r="G55">
        <f t="shared" si="4"/>
        <v>0.36787944117144233</v>
      </c>
      <c r="H55">
        <f t="shared" si="5"/>
        <v>6.9483451222801543E-2</v>
      </c>
      <c r="I55">
        <f t="shared" si="6"/>
        <v>9.6186774051523594E-2</v>
      </c>
      <c r="J55">
        <f t="shared" si="7"/>
        <v>0.10170139230422684</v>
      </c>
    </row>
    <row r="57" spans="1:10" x14ac:dyDescent="0.3">
      <c r="A57" t="s">
        <v>32</v>
      </c>
    </row>
    <row r="58" spans="1:10" x14ac:dyDescent="0.3">
      <c r="A58" s="2" t="s">
        <v>25</v>
      </c>
      <c r="B58" s="2" t="s">
        <v>26</v>
      </c>
      <c r="C58" s="2" t="s">
        <v>25</v>
      </c>
      <c r="D58" s="2" t="s">
        <v>26</v>
      </c>
      <c r="E58" s="2" t="s">
        <v>25</v>
      </c>
      <c r="F58" s="2" t="s">
        <v>26</v>
      </c>
      <c r="G58" s="2" t="s">
        <v>28</v>
      </c>
      <c r="H58" s="4" t="s">
        <v>26</v>
      </c>
      <c r="I58" s="4" t="s">
        <v>29</v>
      </c>
      <c r="J58" s="4" t="s">
        <v>30</v>
      </c>
    </row>
    <row r="59" spans="1:10" x14ac:dyDescent="0.3">
      <c r="A59" s="3">
        <v>0</v>
      </c>
      <c r="B59" s="3">
        <v>1</v>
      </c>
      <c r="C59" s="3">
        <v>0</v>
      </c>
      <c r="D59" s="3">
        <v>1</v>
      </c>
      <c r="E59" s="3">
        <v>0</v>
      </c>
      <c r="F59" s="3">
        <v>1</v>
      </c>
      <c r="G59">
        <f>EXP(-1)</f>
        <v>0.36787944117144233</v>
      </c>
      <c r="H59">
        <f>EXP(-$A59/19)</f>
        <v>1</v>
      </c>
      <c r="I59">
        <f>EXP(-$A59/21)</f>
        <v>1</v>
      </c>
      <c r="J59">
        <f>EXP(-$A59/22)</f>
        <v>1</v>
      </c>
    </row>
    <row r="60" spans="1:10" x14ac:dyDescent="0.3">
      <c r="A60" s="3">
        <v>3</v>
      </c>
      <c r="B60" s="3">
        <v>0.83</v>
      </c>
      <c r="C60" s="3">
        <v>3</v>
      </c>
      <c r="D60" s="3">
        <v>0.85699999999999998</v>
      </c>
      <c r="E60" s="3">
        <v>3</v>
      </c>
      <c r="F60" s="3">
        <v>0.871</v>
      </c>
      <c r="G60">
        <f t="shared" ref="G60:G83" si="8">EXP(-1)</f>
        <v>0.36787944117144233</v>
      </c>
      <c r="H60">
        <f t="shared" ref="H60:H83" si="9">EXP(-$A60/19)</f>
        <v>0.85393966562353518</v>
      </c>
      <c r="I60">
        <f t="shared" ref="I60:I83" si="10">EXP(-$A60/21)</f>
        <v>0.86687789975018159</v>
      </c>
      <c r="J60">
        <f t="shared" ref="J60:J83" si="11">EXP(-$A60/22)</f>
        <v>0.87252529286942382</v>
      </c>
    </row>
    <row r="61" spans="1:10" x14ac:dyDescent="0.3">
      <c r="A61" s="3">
        <v>6</v>
      </c>
      <c r="B61" s="3">
        <v>0.70299999999999996</v>
      </c>
      <c r="C61" s="3">
        <v>6</v>
      </c>
      <c r="D61" s="3">
        <v>0.73899999999999999</v>
      </c>
      <c r="E61" s="3">
        <v>6</v>
      </c>
      <c r="F61" s="3">
        <v>0.749</v>
      </c>
      <c r="G61">
        <f t="shared" si="8"/>
        <v>0.36787944117144233</v>
      </c>
      <c r="H61">
        <f t="shared" si="9"/>
        <v>0.7292129525252351</v>
      </c>
      <c r="I61">
        <f t="shared" si="10"/>
        <v>0.75147729307528599</v>
      </c>
      <c r="J61">
        <f t="shared" si="11"/>
        <v>0.76130038669687372</v>
      </c>
    </row>
    <row r="62" spans="1:10" x14ac:dyDescent="0.3">
      <c r="A62" s="3">
        <v>9</v>
      </c>
      <c r="B62" s="3">
        <v>0.58899999999999997</v>
      </c>
      <c r="C62" s="3">
        <v>9</v>
      </c>
      <c r="D62" s="3">
        <v>0.629</v>
      </c>
      <c r="E62" s="3">
        <v>9</v>
      </c>
      <c r="F62" s="3">
        <v>0.64500000000000002</v>
      </c>
      <c r="G62">
        <f t="shared" si="8"/>
        <v>0.36787944117144233</v>
      </c>
      <c r="H62">
        <f t="shared" si="9"/>
        <v>0.62270386484775009</v>
      </c>
      <c r="I62">
        <f t="shared" si="10"/>
        <v>0.65143905753105558</v>
      </c>
      <c r="J62">
        <f t="shared" si="11"/>
        <v>0.66425384286429534</v>
      </c>
    </row>
    <row r="63" spans="1:10" x14ac:dyDescent="0.3">
      <c r="A63" s="3">
        <v>12</v>
      </c>
      <c r="B63" s="3">
        <v>0.49099999999999999</v>
      </c>
      <c r="C63" s="3">
        <v>12</v>
      </c>
      <c r="D63" s="3">
        <v>0.53100000000000003</v>
      </c>
      <c r="E63" s="3">
        <v>12</v>
      </c>
      <c r="F63" s="3">
        <v>0.54600000000000004</v>
      </c>
      <c r="G63">
        <f t="shared" si="8"/>
        <v>0.36787944117144233</v>
      </c>
      <c r="H63">
        <f t="shared" si="9"/>
        <v>0.53175153013057075</v>
      </c>
      <c r="I63">
        <f t="shared" si="10"/>
        <v>0.56471812200775928</v>
      </c>
      <c r="J63">
        <f t="shared" si="11"/>
        <v>0.5795782787848095</v>
      </c>
    </row>
    <row r="64" spans="1:10" x14ac:dyDescent="0.3">
      <c r="A64" s="3">
        <v>15</v>
      </c>
      <c r="B64" s="3">
        <v>0.42</v>
      </c>
      <c r="C64" s="3">
        <v>15</v>
      </c>
      <c r="D64" s="3">
        <v>0.46600000000000003</v>
      </c>
      <c r="E64" s="3">
        <v>15</v>
      </c>
      <c r="F64" s="3">
        <v>0.48</v>
      </c>
      <c r="G64">
        <f t="shared" si="8"/>
        <v>0.36787944117144233</v>
      </c>
      <c r="H64">
        <f t="shared" si="9"/>
        <v>0.45408372383450274</v>
      </c>
      <c r="I64">
        <f t="shared" si="10"/>
        <v>0.48954165955695311</v>
      </c>
      <c r="J64">
        <f t="shared" si="11"/>
        <v>0.50569670743747253</v>
      </c>
    </row>
    <row r="65" spans="1:10" x14ac:dyDescent="0.3">
      <c r="A65" s="3">
        <v>18</v>
      </c>
      <c r="B65" s="3">
        <v>0.34699999999999998</v>
      </c>
      <c r="C65" s="3">
        <v>18</v>
      </c>
      <c r="D65" s="3">
        <v>0.40200000000000002</v>
      </c>
      <c r="E65" s="3">
        <v>18</v>
      </c>
      <c r="F65" s="3">
        <v>0.41699999999999998</v>
      </c>
      <c r="G65">
        <f t="shared" si="8"/>
        <v>0.36787944117144233</v>
      </c>
      <c r="H65">
        <f t="shared" si="9"/>
        <v>0.38776010329632493</v>
      </c>
      <c r="I65">
        <f t="shared" si="10"/>
        <v>0.42437284567694999</v>
      </c>
      <c r="J65">
        <f t="shared" si="11"/>
        <v>0.44123316775998395</v>
      </c>
    </row>
    <row r="66" spans="1:10" x14ac:dyDescent="0.3">
      <c r="A66" s="3">
        <v>21</v>
      </c>
      <c r="B66" s="3">
        <v>0.27</v>
      </c>
      <c r="C66" s="3">
        <v>21</v>
      </c>
      <c r="D66" s="3">
        <v>0.33400000000000002</v>
      </c>
      <c r="E66" s="3">
        <v>21</v>
      </c>
      <c r="F66" s="3">
        <v>0.35399999999999998</v>
      </c>
      <c r="G66">
        <f t="shared" si="8"/>
        <v>0.36787944117144233</v>
      </c>
      <c r="H66">
        <f t="shared" si="9"/>
        <v>0.33112373295101116</v>
      </c>
      <c r="I66">
        <f t="shared" si="10"/>
        <v>0.36787944117144233</v>
      </c>
      <c r="J66">
        <f t="shared" si="11"/>
        <v>0.38498709892348359</v>
      </c>
    </row>
    <row r="67" spans="1:10" x14ac:dyDescent="0.3">
      <c r="A67" s="3">
        <v>24</v>
      </c>
      <c r="B67" s="3">
        <v>0.19500000000000001</v>
      </c>
      <c r="C67" s="3">
        <v>24</v>
      </c>
      <c r="D67" s="3">
        <v>0.27100000000000002</v>
      </c>
      <c r="E67" s="3">
        <v>24</v>
      </c>
      <c r="F67" s="3">
        <v>0.29599999999999999</v>
      </c>
      <c r="G67">
        <f t="shared" si="8"/>
        <v>0.36787944117144233</v>
      </c>
      <c r="H67">
        <f t="shared" si="9"/>
        <v>0.28275968979620325</v>
      </c>
      <c r="I67">
        <f t="shared" si="10"/>
        <v>0.31890655732397044</v>
      </c>
      <c r="J67">
        <f t="shared" si="11"/>
        <v>0.33591098123916241</v>
      </c>
    </row>
    <row r="68" spans="1:10" x14ac:dyDescent="0.3">
      <c r="A68" s="3">
        <v>27</v>
      </c>
      <c r="B68" s="3">
        <v>0.13</v>
      </c>
      <c r="C68" s="3">
        <v>27</v>
      </c>
      <c r="D68" s="3">
        <v>0.20899999999999999</v>
      </c>
      <c r="E68" s="3">
        <v>27</v>
      </c>
      <c r="F68" s="3">
        <v>0.23599999999999999</v>
      </c>
      <c r="G68">
        <f t="shared" si="8"/>
        <v>0.36787944117144233</v>
      </c>
      <c r="H68">
        <f t="shared" si="9"/>
        <v>0.24145971495638432</v>
      </c>
      <c r="I68">
        <f t="shared" si="10"/>
        <v>0.27645304662956433</v>
      </c>
      <c r="J68">
        <f t="shared" si="11"/>
        <v>0.29309082728375568</v>
      </c>
    </row>
    <row r="69" spans="1:10" x14ac:dyDescent="0.3">
      <c r="A69" s="3">
        <v>30</v>
      </c>
      <c r="B69" s="3">
        <v>7.8E-2</v>
      </c>
      <c r="C69" s="3">
        <v>30</v>
      </c>
      <c r="D69" s="3">
        <v>0.153</v>
      </c>
      <c r="E69" s="3">
        <v>30</v>
      </c>
      <c r="F69" s="3">
        <v>0.182</v>
      </c>
      <c r="G69">
        <f t="shared" si="8"/>
        <v>0.36787944117144233</v>
      </c>
      <c r="H69">
        <f t="shared" si="9"/>
        <v>0.20619202825140892</v>
      </c>
      <c r="I69">
        <f t="shared" si="10"/>
        <v>0.23965103644177579</v>
      </c>
      <c r="J69">
        <f t="shared" si="11"/>
        <v>0.25572915991310063</v>
      </c>
    </row>
    <row r="70" spans="1:10" x14ac:dyDescent="0.3">
      <c r="A70" s="3">
        <v>33</v>
      </c>
      <c r="B70" s="3">
        <v>0.04</v>
      </c>
      <c r="C70" s="3">
        <v>33</v>
      </c>
      <c r="D70" s="3">
        <v>0.11</v>
      </c>
      <c r="E70" s="3">
        <v>33</v>
      </c>
      <c r="F70" s="3">
        <v>0.13900000000000001</v>
      </c>
      <c r="G70">
        <f t="shared" si="8"/>
        <v>0.36787944117144233</v>
      </c>
      <c r="H70">
        <f t="shared" si="9"/>
        <v>0.17607555165924665</v>
      </c>
      <c r="I70">
        <f t="shared" si="10"/>
        <v>0.20774818714360085</v>
      </c>
      <c r="J70">
        <f t="shared" si="11"/>
        <v>0.22313016014842982</v>
      </c>
    </row>
    <row r="71" spans="1:10" x14ac:dyDescent="0.3">
      <c r="A71" s="3">
        <v>36</v>
      </c>
      <c r="B71" s="3">
        <v>8.0000000000000002E-3</v>
      </c>
      <c r="C71" s="3">
        <v>36</v>
      </c>
      <c r="D71" s="3">
        <v>7.0999999999999994E-2</v>
      </c>
      <c r="E71" s="3">
        <v>36</v>
      </c>
      <c r="F71" s="3">
        <v>0.10100000000000001</v>
      </c>
      <c r="G71">
        <f t="shared" si="8"/>
        <v>0.36787944117144233</v>
      </c>
      <c r="H71">
        <f t="shared" si="9"/>
        <v>0.1503578977083766</v>
      </c>
      <c r="I71">
        <f t="shared" si="10"/>
        <v>0.1800923121479524</v>
      </c>
      <c r="J71">
        <f t="shared" si="11"/>
        <v>0.19468670833151014</v>
      </c>
    </row>
    <row r="72" spans="1:10" x14ac:dyDescent="0.3">
      <c r="A72" s="3">
        <v>39</v>
      </c>
      <c r="B72" s="3">
        <v>-2.1999999999999999E-2</v>
      </c>
      <c r="C72" s="3">
        <v>39</v>
      </c>
      <c r="D72" s="3">
        <v>3.7999999999999999E-2</v>
      </c>
      <c r="E72" s="3">
        <v>39</v>
      </c>
      <c r="F72" s="3">
        <v>7.2999999999999995E-2</v>
      </c>
      <c r="G72">
        <f t="shared" si="8"/>
        <v>0.36787944117144233</v>
      </c>
      <c r="H72">
        <f t="shared" si="9"/>
        <v>0.12839657289294878</v>
      </c>
      <c r="I72">
        <f t="shared" si="10"/>
        <v>0.15611804531597107</v>
      </c>
      <c r="J72">
        <f t="shared" si="11"/>
        <v>0.16986907720473501</v>
      </c>
    </row>
    <row r="73" spans="1:10" x14ac:dyDescent="0.3">
      <c r="A73" s="3">
        <v>42</v>
      </c>
      <c r="B73" s="3">
        <v>-4.8000000000000001E-2</v>
      </c>
      <c r="C73" s="3">
        <v>42</v>
      </c>
      <c r="D73" s="3">
        <v>8.9999999999999993E-3</v>
      </c>
      <c r="E73" s="3">
        <v>42</v>
      </c>
      <c r="F73" s="3">
        <v>0.04</v>
      </c>
      <c r="G73">
        <f t="shared" si="8"/>
        <v>0.36787944117144233</v>
      </c>
      <c r="H73">
        <f t="shared" si="9"/>
        <v>0.10964292652341254</v>
      </c>
      <c r="I73">
        <f t="shared" si="10"/>
        <v>0.1353352832366127</v>
      </c>
      <c r="J73">
        <f t="shared" si="11"/>
        <v>0.14821506633752016</v>
      </c>
    </row>
    <row r="74" spans="1:10" x14ac:dyDescent="0.3">
      <c r="A74" s="3">
        <v>45</v>
      </c>
      <c r="B74" s="3">
        <v>-6.9000000000000006E-2</v>
      </c>
      <c r="C74" s="3">
        <v>45</v>
      </c>
      <c r="D74" s="3">
        <v>-2.4E-2</v>
      </c>
      <c r="E74" s="3">
        <v>45</v>
      </c>
      <c r="F74" s="3">
        <v>2E-3</v>
      </c>
      <c r="G74">
        <f t="shared" si="8"/>
        <v>0.36787944117144233</v>
      </c>
      <c r="H74">
        <f t="shared" si="9"/>
        <v>9.3628444013388781E-2</v>
      </c>
      <c r="I74">
        <f t="shared" si="10"/>
        <v>0.11731916609425078</v>
      </c>
      <c r="J74">
        <f t="shared" si="11"/>
        <v>0.12932139416380586</v>
      </c>
    </row>
    <row r="75" spans="1:10" x14ac:dyDescent="0.3">
      <c r="A75" s="3">
        <v>48</v>
      </c>
      <c r="B75" s="3">
        <v>-5.7000000000000002E-2</v>
      </c>
      <c r="C75" s="3">
        <v>48</v>
      </c>
      <c r="D75" s="3">
        <v>-2.8000000000000001E-2</v>
      </c>
      <c r="E75" s="3">
        <v>48</v>
      </c>
      <c r="F75" s="3">
        <v>-1.0999999999999999E-2</v>
      </c>
      <c r="G75">
        <f t="shared" si="8"/>
        <v>0.36787944117144233</v>
      </c>
      <c r="H75">
        <f t="shared" si="9"/>
        <v>7.9953042173645086E-2</v>
      </c>
      <c r="I75">
        <f t="shared" si="10"/>
        <v>0.10170139230422684</v>
      </c>
      <c r="J75">
        <f t="shared" si="11"/>
        <v>0.11283618731705691</v>
      </c>
    </row>
    <row r="76" spans="1:10" x14ac:dyDescent="0.3">
      <c r="A76" s="3">
        <v>51</v>
      </c>
      <c r="B76" s="3">
        <v>-4.1000000000000002E-2</v>
      </c>
      <c r="C76" s="3">
        <v>51</v>
      </c>
      <c r="D76" s="3">
        <v>-2.1999999999999999E-2</v>
      </c>
      <c r="E76" s="3">
        <v>51</v>
      </c>
      <c r="F76" s="3">
        <v>-1.2E-2</v>
      </c>
      <c r="G76">
        <f t="shared" si="8"/>
        <v>0.36787944117144233</v>
      </c>
      <c r="H76">
        <f t="shared" si="9"/>
        <v>6.8275074099346883E-2</v>
      </c>
      <c r="I76">
        <f t="shared" si="10"/>
        <v>8.8162689362357452E-2</v>
      </c>
      <c r="J76">
        <f t="shared" si="11"/>
        <v>9.845242738508421E-2</v>
      </c>
    </row>
    <row r="77" spans="1:10" x14ac:dyDescent="0.3">
      <c r="A77" s="3">
        <v>54</v>
      </c>
      <c r="B77" s="3">
        <v>-3.5000000000000003E-2</v>
      </c>
      <c r="C77" s="3">
        <v>54</v>
      </c>
      <c r="D77" s="3">
        <v>-1.7999999999999999E-2</v>
      </c>
      <c r="E77" s="3">
        <v>54</v>
      </c>
      <c r="F77" s="3">
        <v>-1.4999999999999999E-2</v>
      </c>
      <c r="G77">
        <f t="shared" si="8"/>
        <v>0.36787944117144233</v>
      </c>
      <c r="H77">
        <f t="shared" si="9"/>
        <v>5.8302793946818365E-2</v>
      </c>
      <c r="I77">
        <f t="shared" si="10"/>
        <v>7.6426286990768075E-2</v>
      </c>
      <c r="J77">
        <f t="shared" si="11"/>
        <v>8.5902233037876294E-2</v>
      </c>
    </row>
    <row r="78" spans="1:10" x14ac:dyDescent="0.3">
      <c r="A78" s="3">
        <v>57</v>
      </c>
      <c r="B78" s="3">
        <v>-4.2000000000000003E-2</v>
      </c>
      <c r="C78" s="3">
        <v>57</v>
      </c>
      <c r="D78" s="3">
        <v>-1.4999999999999999E-2</v>
      </c>
      <c r="E78" s="3">
        <v>57</v>
      </c>
      <c r="F78" s="3">
        <v>-1.6E-2</v>
      </c>
      <c r="G78">
        <f t="shared" si="8"/>
        <v>0.36787944117144233</v>
      </c>
      <c r="H78">
        <f t="shared" si="9"/>
        <v>4.9787068367863944E-2</v>
      </c>
      <c r="I78">
        <f t="shared" si="10"/>
        <v>6.6252259152261669E-2</v>
      </c>
      <c r="J78">
        <f t="shared" si="11"/>
        <v>7.4951871039510509E-2</v>
      </c>
    </row>
    <row r="79" spans="1:10" x14ac:dyDescent="0.3">
      <c r="A79" s="3">
        <v>60</v>
      </c>
      <c r="B79" s="3">
        <v>-4.9000000000000002E-2</v>
      </c>
      <c r="C79" s="3">
        <v>60</v>
      </c>
      <c r="D79" s="3">
        <v>-1.4E-2</v>
      </c>
      <c r="E79" s="3">
        <v>60</v>
      </c>
      <c r="F79" s="3">
        <v>5.0000000000000001E-3</v>
      </c>
      <c r="G79">
        <f t="shared" si="8"/>
        <v>0.36787944117144233</v>
      </c>
      <c r="H79">
        <f t="shared" si="9"/>
        <v>4.2515152514429819E-2</v>
      </c>
      <c r="I79">
        <f t="shared" si="10"/>
        <v>5.7432619267617349E-2</v>
      </c>
      <c r="J79">
        <f t="shared" si="11"/>
        <v>6.5397403229860207E-2</v>
      </c>
    </row>
    <row r="80" spans="1:10" x14ac:dyDescent="0.3">
      <c r="A80" s="3">
        <v>63</v>
      </c>
      <c r="B80" s="3">
        <v>-3.7999999999999999E-2</v>
      </c>
      <c r="C80" s="3">
        <v>63</v>
      </c>
      <c r="D80" s="3">
        <v>-1.0999999999999999E-2</v>
      </c>
      <c r="E80" s="3">
        <v>63</v>
      </c>
      <c r="F80" s="3">
        <v>1.4E-2</v>
      </c>
      <c r="G80">
        <f t="shared" si="8"/>
        <v>0.36787944117144233</v>
      </c>
      <c r="H80">
        <f t="shared" si="9"/>
        <v>3.6305375122105799E-2</v>
      </c>
      <c r="I80">
        <f t="shared" si="10"/>
        <v>4.9787068367863944E-2</v>
      </c>
      <c r="J80">
        <f t="shared" si="11"/>
        <v>5.7060888406033558E-2</v>
      </c>
    </row>
    <row r="81" spans="1:10" x14ac:dyDescent="0.3">
      <c r="A81" s="3">
        <v>66</v>
      </c>
      <c r="B81" s="3">
        <v>-0.03</v>
      </c>
      <c r="C81" s="3">
        <v>66</v>
      </c>
      <c r="D81" s="3">
        <v>-8.9999999999999993E-3</v>
      </c>
      <c r="E81" s="3">
        <v>66</v>
      </c>
      <c r="F81" s="3">
        <v>1.2E-2</v>
      </c>
      <c r="G81">
        <f t="shared" si="8"/>
        <v>0.36787944117144233</v>
      </c>
      <c r="H81">
        <f t="shared" si="9"/>
        <v>3.1002599892108035E-2</v>
      </c>
      <c r="I81">
        <f t="shared" si="10"/>
        <v>4.3159309261452602E-2</v>
      </c>
      <c r="J81">
        <f t="shared" si="11"/>
        <v>4.9787068367863944E-2</v>
      </c>
    </row>
    <row r="82" spans="1:10" x14ac:dyDescent="0.3">
      <c r="A82" s="3">
        <v>69</v>
      </c>
      <c r="B82" s="3">
        <v>-2.8000000000000001E-2</v>
      </c>
      <c r="C82" s="3">
        <v>69</v>
      </c>
      <c r="D82" s="3">
        <v>-1.2999999999999999E-2</v>
      </c>
      <c r="E82" s="3">
        <v>69</v>
      </c>
      <c r="F82" s="3">
        <v>8.9999999999999993E-3</v>
      </c>
      <c r="G82">
        <f t="shared" si="8"/>
        <v>0.36787944117144233</v>
      </c>
      <c r="H82">
        <f t="shared" si="9"/>
        <v>2.6474349785326982E-2</v>
      </c>
      <c r="I82">
        <f t="shared" si="10"/>
        <v>3.7413851367236593E-2</v>
      </c>
      <c r="J82">
        <f t="shared" si="11"/>
        <v>4.3440476408780515E-2</v>
      </c>
    </row>
    <row r="83" spans="1:10" x14ac:dyDescent="0.3">
      <c r="A83" s="3">
        <v>72</v>
      </c>
      <c r="B83" s="3">
        <v>-0.03</v>
      </c>
      <c r="C83" s="3">
        <v>72</v>
      </c>
      <c r="D83" s="3">
        <v>-1.7000000000000001E-2</v>
      </c>
      <c r="E83" s="3">
        <v>72</v>
      </c>
      <c r="F83" s="3">
        <v>4.0000000000000001E-3</v>
      </c>
      <c r="G83">
        <f t="shared" si="8"/>
        <v>0.36787944117144233</v>
      </c>
      <c r="H83">
        <f t="shared" si="9"/>
        <v>2.2607497403282641E-2</v>
      </c>
      <c r="I83">
        <f t="shared" si="10"/>
        <v>3.2433240894795524E-2</v>
      </c>
      <c r="J83">
        <f t="shared" si="11"/>
        <v>3.7902914400958505E-2</v>
      </c>
    </row>
    <row r="85" spans="1:10" x14ac:dyDescent="0.3">
      <c r="A85" t="s">
        <v>33</v>
      </c>
    </row>
    <row r="86" spans="1:10" x14ac:dyDescent="0.3">
      <c r="A86" s="2" t="s">
        <v>25</v>
      </c>
      <c r="B86" s="2" t="s">
        <v>30</v>
      </c>
      <c r="C86" s="2" t="s">
        <v>25</v>
      </c>
      <c r="D86" s="2" t="s">
        <v>26</v>
      </c>
      <c r="E86" s="2" t="s">
        <v>25</v>
      </c>
      <c r="F86" s="2" t="s">
        <v>26</v>
      </c>
      <c r="G86" s="2" t="s">
        <v>28</v>
      </c>
      <c r="H86" s="4" t="s">
        <v>26</v>
      </c>
      <c r="I86" s="4" t="s">
        <v>29</v>
      </c>
      <c r="J86" s="4" t="s">
        <v>30</v>
      </c>
    </row>
    <row r="87" spans="1:10" x14ac:dyDescent="0.3">
      <c r="A87" s="3">
        <v>0</v>
      </c>
      <c r="B87" s="3">
        <v>1</v>
      </c>
      <c r="C87" s="3">
        <v>0</v>
      </c>
      <c r="D87" s="3">
        <v>1</v>
      </c>
      <c r="E87" s="3">
        <v>0</v>
      </c>
      <c r="F87" s="3">
        <v>1</v>
      </c>
      <c r="G87">
        <f>EXP(-1)</f>
        <v>0.36787944117144233</v>
      </c>
      <c r="H87">
        <f>EXP(-$A87/15)</f>
        <v>1</v>
      </c>
      <c r="I87">
        <f>EXP(-$A87/18)</f>
        <v>1</v>
      </c>
      <c r="J87">
        <f>EXP(-$A87/19.5)</f>
        <v>1</v>
      </c>
    </row>
    <row r="88" spans="1:10" x14ac:dyDescent="0.3">
      <c r="A88" s="3">
        <v>4</v>
      </c>
      <c r="B88" s="3">
        <v>0.78700000000000003</v>
      </c>
      <c r="C88" s="3">
        <v>4</v>
      </c>
      <c r="D88" s="3">
        <v>0.81499999999999995</v>
      </c>
      <c r="E88" s="3">
        <v>4</v>
      </c>
      <c r="F88" s="3">
        <v>0.82699999999999996</v>
      </c>
      <c r="G88">
        <f t="shared" ref="G88:G111" si="12">EXP(-1)</f>
        <v>0.36787944117144233</v>
      </c>
      <c r="H88">
        <f t="shared" ref="H88:H111" si="13">EXP(-$A88/15)</f>
        <v>0.76592833836464869</v>
      </c>
      <c r="I88">
        <f t="shared" ref="I88:I111" si="14">EXP(-$A88/18)</f>
        <v>0.80073740291680806</v>
      </c>
      <c r="J88">
        <f t="shared" ref="J88:J111" si="15">EXP(-$A88/19.5)</f>
        <v>0.81454288114248363</v>
      </c>
    </row>
    <row r="89" spans="1:10" x14ac:dyDescent="0.3">
      <c r="A89" s="3">
        <v>8</v>
      </c>
      <c r="B89" s="3">
        <v>0.63</v>
      </c>
      <c r="C89" s="3">
        <v>8</v>
      </c>
      <c r="D89" s="3">
        <v>0.56799999999999995</v>
      </c>
      <c r="E89" s="3">
        <v>8</v>
      </c>
      <c r="F89" s="3">
        <v>0.68200000000000005</v>
      </c>
      <c r="G89">
        <f t="shared" si="12"/>
        <v>0.36787944117144233</v>
      </c>
      <c r="H89">
        <f t="shared" si="13"/>
        <v>0.58664621951003182</v>
      </c>
      <c r="I89">
        <f t="shared" si="14"/>
        <v>0.64118038842995462</v>
      </c>
      <c r="J89">
        <f t="shared" si="15"/>
        <v>0.6634801052198982</v>
      </c>
    </row>
    <row r="90" spans="1:10" x14ac:dyDescent="0.3">
      <c r="A90" s="3">
        <v>12</v>
      </c>
      <c r="B90" s="3">
        <v>0.43099999999999999</v>
      </c>
      <c r="C90" s="3">
        <v>12</v>
      </c>
      <c r="D90" s="3">
        <v>0.53100000000000003</v>
      </c>
      <c r="E90" s="3">
        <v>12</v>
      </c>
      <c r="F90" s="3">
        <v>0.54600000000000004</v>
      </c>
      <c r="G90">
        <f t="shared" si="12"/>
        <v>0.36787944117144233</v>
      </c>
      <c r="H90">
        <f t="shared" si="13"/>
        <v>0.44932896411722156</v>
      </c>
      <c r="I90">
        <f t="shared" si="14"/>
        <v>0.51341711903259202</v>
      </c>
      <c r="J90">
        <f t="shared" si="15"/>
        <v>0.54043299648653409</v>
      </c>
    </row>
    <row r="91" spans="1:10" x14ac:dyDescent="0.3">
      <c r="A91" s="3">
        <v>16</v>
      </c>
      <c r="B91" s="3">
        <v>0.39300000000000002</v>
      </c>
      <c r="C91" s="3">
        <v>16</v>
      </c>
      <c r="D91" s="3">
        <v>0.443</v>
      </c>
      <c r="E91" s="3">
        <v>16</v>
      </c>
      <c r="F91" s="3">
        <v>0.45900000000000002</v>
      </c>
      <c r="G91">
        <f t="shared" si="12"/>
        <v>0.36787944117144233</v>
      </c>
      <c r="H91">
        <f t="shared" si="13"/>
        <v>0.34415378686541237</v>
      </c>
      <c r="I91">
        <f t="shared" si="14"/>
        <v>0.41111229050718745</v>
      </c>
      <c r="J91">
        <f t="shared" si="15"/>
        <v>0.4402058500226072</v>
      </c>
    </row>
    <row r="92" spans="1:10" x14ac:dyDescent="0.3">
      <c r="A92" s="3">
        <v>20</v>
      </c>
      <c r="B92" s="3">
        <v>0.29899999999999999</v>
      </c>
      <c r="C92" s="3">
        <v>20</v>
      </c>
      <c r="D92" s="3">
        <v>0.35799999999999998</v>
      </c>
      <c r="E92" s="3">
        <v>20</v>
      </c>
      <c r="F92" s="3">
        <v>0.375</v>
      </c>
      <c r="G92">
        <f t="shared" si="12"/>
        <v>0.36787944117144233</v>
      </c>
      <c r="H92">
        <f t="shared" si="13"/>
        <v>0.26359713811572677</v>
      </c>
      <c r="I92">
        <f t="shared" si="14"/>
        <v>0.32919298780790557</v>
      </c>
      <c r="J92">
        <f t="shared" si="15"/>
        <v>0.35856654137319055</v>
      </c>
    </row>
    <row r="93" spans="1:10" x14ac:dyDescent="0.3">
      <c r="A93" s="3">
        <v>24</v>
      </c>
      <c r="B93" s="3">
        <v>0.19500000000000001</v>
      </c>
      <c r="C93" s="3">
        <v>24</v>
      </c>
      <c r="D93" s="3">
        <v>0.27100000000000002</v>
      </c>
      <c r="E93" s="3">
        <v>24</v>
      </c>
      <c r="F93" s="3">
        <v>0.29599999999999999</v>
      </c>
      <c r="G93">
        <f t="shared" si="12"/>
        <v>0.36787944117144233</v>
      </c>
      <c r="H93">
        <f t="shared" si="13"/>
        <v>0.20189651799465538</v>
      </c>
      <c r="I93">
        <f t="shared" si="14"/>
        <v>0.26359713811572677</v>
      </c>
      <c r="J93">
        <f t="shared" si="15"/>
        <v>0.29206782369141415</v>
      </c>
    </row>
    <row r="94" spans="1:10" x14ac:dyDescent="0.3">
      <c r="A94" s="3">
        <v>28</v>
      </c>
      <c r="B94" s="3">
        <v>0.11</v>
      </c>
      <c r="C94" s="3">
        <v>28</v>
      </c>
      <c r="D94" s="3">
        <v>0.188</v>
      </c>
      <c r="E94" s="3">
        <v>28</v>
      </c>
      <c r="F94" s="3">
        <v>0.216</v>
      </c>
      <c r="G94">
        <f t="shared" si="12"/>
        <v>0.36787944117144233</v>
      </c>
      <c r="H94">
        <f t="shared" si="13"/>
        <v>0.15463826454925481</v>
      </c>
      <c r="I94">
        <f t="shared" si="14"/>
        <v>0.21107208779109021</v>
      </c>
      <c r="J94">
        <f t="shared" si="15"/>
        <v>0.23790176659861942</v>
      </c>
    </row>
    <row r="95" spans="1:10" x14ac:dyDescent="0.3">
      <c r="A95" s="3">
        <v>32</v>
      </c>
      <c r="B95" s="3">
        <v>5.1999999999999998E-2</v>
      </c>
      <c r="C95" s="3">
        <v>32</v>
      </c>
      <c r="D95" s="3">
        <v>0.123</v>
      </c>
      <c r="E95" s="3">
        <v>32</v>
      </c>
      <c r="F95" s="3">
        <v>0.153</v>
      </c>
      <c r="G95">
        <f t="shared" si="12"/>
        <v>0.36787944117144233</v>
      </c>
      <c r="H95">
        <f t="shared" si="13"/>
        <v>0.11844182901380371</v>
      </c>
      <c r="I95">
        <f t="shared" si="14"/>
        <v>0.16901331540606609</v>
      </c>
      <c r="J95">
        <f t="shared" si="15"/>
        <v>0.19378119039412614</v>
      </c>
    </row>
    <row r="96" spans="1:10" x14ac:dyDescent="0.3">
      <c r="A96" s="3">
        <v>36</v>
      </c>
      <c r="B96" s="3">
        <v>8.0000000000000002E-3</v>
      </c>
      <c r="C96" s="3">
        <v>36</v>
      </c>
      <c r="D96" s="3">
        <v>7.0999999999999994E-2</v>
      </c>
      <c r="E96" s="3">
        <v>36</v>
      </c>
      <c r="F96" s="3">
        <v>0.10100000000000001</v>
      </c>
      <c r="G96">
        <f t="shared" si="12"/>
        <v>0.36787944117144233</v>
      </c>
      <c r="H96">
        <f t="shared" si="13"/>
        <v>9.0717953289412512E-2</v>
      </c>
      <c r="I96">
        <f t="shared" si="14"/>
        <v>0.1353352832366127</v>
      </c>
      <c r="J96">
        <f t="shared" si="15"/>
        <v>0.15784308913485165</v>
      </c>
    </row>
    <row r="97" spans="1:10" x14ac:dyDescent="0.3">
      <c r="A97" s="3">
        <v>40</v>
      </c>
      <c r="B97" s="3">
        <v>-2.7E-2</v>
      </c>
      <c r="C97" s="3">
        <v>40</v>
      </c>
      <c r="D97" s="3">
        <v>3.1E-2</v>
      </c>
      <c r="E97" s="3">
        <v>40</v>
      </c>
      <c r="F97" s="3">
        <v>6.5000000000000002E-2</v>
      </c>
      <c r="G97">
        <f t="shared" si="12"/>
        <v>0.36787944117144233</v>
      </c>
      <c r="H97">
        <f t="shared" si="13"/>
        <v>6.9483451222801543E-2</v>
      </c>
      <c r="I97">
        <f t="shared" si="14"/>
        <v>0.10836802322189586</v>
      </c>
      <c r="J97">
        <f t="shared" si="15"/>
        <v>0.12856996459233197</v>
      </c>
    </row>
    <row r="98" spans="1:10" x14ac:dyDescent="0.3">
      <c r="A98" s="3">
        <v>44</v>
      </c>
      <c r="B98" s="3">
        <v>-6.4000000000000001E-2</v>
      </c>
      <c r="C98" s="3">
        <v>44</v>
      </c>
      <c r="D98" s="3">
        <v>-1.4E-2</v>
      </c>
      <c r="E98" s="3">
        <v>44</v>
      </c>
      <c r="F98" s="3">
        <v>1.4E-2</v>
      </c>
      <c r="G98">
        <f t="shared" si="12"/>
        <v>0.36787944117144233</v>
      </c>
      <c r="H98">
        <f t="shared" si="13"/>
        <v>5.3219344338921511E-2</v>
      </c>
      <c r="I98">
        <f t="shared" si="14"/>
        <v>8.6774329473929226E-2</v>
      </c>
      <c r="J98">
        <f t="shared" si="15"/>
        <v>0.10472574938742517</v>
      </c>
    </row>
    <row r="99" spans="1:10" x14ac:dyDescent="0.3">
      <c r="A99" s="3">
        <v>48</v>
      </c>
      <c r="B99" s="3">
        <v>-5.7000000000000002E-2</v>
      </c>
      <c r="C99" s="3">
        <v>48</v>
      </c>
      <c r="D99" s="3">
        <v>-2.8000000000000001E-2</v>
      </c>
      <c r="E99" s="3">
        <v>48</v>
      </c>
      <c r="F99" s="3">
        <v>-1.0999999999999999E-2</v>
      </c>
      <c r="G99">
        <f t="shared" si="12"/>
        <v>0.36787944117144233</v>
      </c>
      <c r="H99">
        <f t="shared" si="13"/>
        <v>4.0762203978366211E-2</v>
      </c>
      <c r="I99">
        <f t="shared" si="14"/>
        <v>6.9483451222801543E-2</v>
      </c>
      <c r="J99">
        <f t="shared" si="15"/>
        <v>8.5303613635838965E-2</v>
      </c>
    </row>
    <row r="100" spans="1:10" x14ac:dyDescent="0.3">
      <c r="A100" s="3">
        <v>52</v>
      </c>
      <c r="B100" s="3">
        <v>-4.4999999999999998E-2</v>
      </c>
      <c r="C100" s="3">
        <v>52</v>
      </c>
      <c r="D100" s="3">
        <v>-2.4E-2</v>
      </c>
      <c r="E100" s="3">
        <v>52</v>
      </c>
      <c r="F100" s="3">
        <v>-1.6E-2</v>
      </c>
      <c r="G100">
        <f t="shared" si="12"/>
        <v>0.36787944117144233</v>
      </c>
      <c r="H100">
        <f t="shared" si="13"/>
        <v>3.1220927161230903E-2</v>
      </c>
      <c r="I100">
        <f t="shared" si="14"/>
        <v>5.5637998277842812E-2</v>
      </c>
      <c r="J100">
        <f t="shared" si="15"/>
        <v>6.9483451222801543E-2</v>
      </c>
    </row>
    <row r="101" spans="1:10" x14ac:dyDescent="0.3">
      <c r="A101" s="3">
        <v>56</v>
      </c>
      <c r="B101" s="3">
        <v>-3.6999999999999998E-2</v>
      </c>
      <c r="C101" s="3">
        <v>56</v>
      </c>
      <c r="D101" s="3">
        <v>-1.7999999999999999E-2</v>
      </c>
      <c r="E101" s="3">
        <v>56</v>
      </c>
      <c r="F101" s="3">
        <v>-1.4999999999999999E-2</v>
      </c>
      <c r="G101">
        <f t="shared" si="12"/>
        <v>0.36787944117144233</v>
      </c>
      <c r="H101">
        <f t="shared" si="13"/>
        <v>2.3912992862805314E-2</v>
      </c>
      <c r="I101">
        <f t="shared" si="14"/>
        <v>4.4551426244489691E-2</v>
      </c>
      <c r="J101">
        <f t="shared" si="15"/>
        <v>5.6597250550743987E-2</v>
      </c>
    </row>
    <row r="102" spans="1:10" x14ac:dyDescent="0.3">
      <c r="A102" s="3">
        <v>60</v>
      </c>
      <c r="B102" s="3">
        <v>-4.9000000000000002E-2</v>
      </c>
      <c r="C102" s="3">
        <v>60</v>
      </c>
      <c r="D102" s="3">
        <v>-2.1999999999999999E-2</v>
      </c>
      <c r="E102" s="3">
        <v>60</v>
      </c>
      <c r="F102" s="3">
        <v>-0.01</v>
      </c>
      <c r="G102">
        <f t="shared" si="12"/>
        <v>0.36787944117144233</v>
      </c>
      <c r="H102">
        <f t="shared" si="13"/>
        <v>1.8315638888734179E-2</v>
      </c>
      <c r="I102">
        <f t="shared" si="14"/>
        <v>3.5673993347252395E-2</v>
      </c>
      <c r="J102">
        <f t="shared" si="15"/>
        <v>4.610088752834602E-2</v>
      </c>
    </row>
    <row r="103" spans="1:10" x14ac:dyDescent="0.3">
      <c r="A103" s="3">
        <v>64</v>
      </c>
      <c r="B103" s="3">
        <v>-3.5000000000000003E-2</v>
      </c>
      <c r="C103" s="3">
        <v>64</v>
      </c>
      <c r="D103" s="3">
        <v>-1.2999999999999999E-2</v>
      </c>
      <c r="E103" s="3">
        <v>64</v>
      </c>
      <c r="F103" s="3">
        <v>8.9999999999999993E-3</v>
      </c>
      <c r="G103">
        <f t="shared" si="12"/>
        <v>0.36787944117144233</v>
      </c>
      <c r="H103">
        <f t="shared" si="13"/>
        <v>1.4028466860135112E-2</v>
      </c>
      <c r="I103">
        <f t="shared" si="14"/>
        <v>2.8565500784550377E-2</v>
      </c>
      <c r="J103">
        <f t="shared" si="15"/>
        <v>3.7551149750564568E-2</v>
      </c>
    </row>
    <row r="104" spans="1:10" x14ac:dyDescent="0.3">
      <c r="A104" s="3">
        <v>68</v>
      </c>
      <c r="B104" s="3">
        <v>-2.8000000000000001E-2</v>
      </c>
      <c r="C104" s="3">
        <v>68</v>
      </c>
      <c r="D104" s="3">
        <v>-1.2E-2</v>
      </c>
      <c r="E104" s="3">
        <v>68</v>
      </c>
      <c r="F104" s="3">
        <v>1.4E-2</v>
      </c>
      <c r="G104">
        <f t="shared" si="12"/>
        <v>0.36787944117144233</v>
      </c>
      <c r="H104">
        <f t="shared" si="13"/>
        <v>1.0744800311986828E-2</v>
      </c>
      <c r="I104">
        <f t="shared" si="14"/>
        <v>2.287346491123891E-2</v>
      </c>
      <c r="J104">
        <f t="shared" si="15"/>
        <v>3.0587021708037714E-2</v>
      </c>
    </row>
    <row r="105" spans="1:10" x14ac:dyDescent="0.3">
      <c r="A105" s="3">
        <v>72</v>
      </c>
      <c r="B105" s="3">
        <v>-0.03</v>
      </c>
      <c r="C105" s="3">
        <v>72</v>
      </c>
      <c r="D105" s="3">
        <v>-1.7000000000000001E-2</v>
      </c>
      <c r="E105" s="3">
        <v>72</v>
      </c>
      <c r="F105" s="3">
        <v>4.0000000000000001E-3</v>
      </c>
      <c r="G105">
        <f t="shared" si="12"/>
        <v>0.36787944117144233</v>
      </c>
      <c r="H105">
        <f t="shared" si="13"/>
        <v>8.2297470490200302E-3</v>
      </c>
      <c r="I105">
        <f t="shared" si="14"/>
        <v>1.8315638888734179E-2</v>
      </c>
      <c r="J105">
        <f t="shared" si="15"/>
        <v>2.4914440787632726E-2</v>
      </c>
    </row>
    <row r="106" spans="1:10" x14ac:dyDescent="0.3">
      <c r="A106" s="3">
        <v>76</v>
      </c>
      <c r="B106" s="3">
        <v>-3.9E-2</v>
      </c>
      <c r="C106" s="3">
        <v>76</v>
      </c>
      <c r="D106" s="3">
        <v>-0.02</v>
      </c>
      <c r="E106" s="3">
        <v>76</v>
      </c>
      <c r="F106" s="3">
        <v>-0.01</v>
      </c>
      <c r="G106">
        <f t="shared" si="12"/>
        <v>0.36787944117144233</v>
      </c>
      <c r="H106">
        <f t="shared" si="13"/>
        <v>6.3033964824172834E-3</v>
      </c>
      <c r="I106">
        <f t="shared" si="14"/>
        <v>1.4666017116527099E-2</v>
      </c>
      <c r="J106">
        <f t="shared" si="15"/>
        <v>2.0293880381212177E-2</v>
      </c>
    </row>
    <row r="107" spans="1:10" x14ac:dyDescent="0.3">
      <c r="A107" s="3">
        <v>80</v>
      </c>
      <c r="B107" s="3">
        <v>-5.5E-2</v>
      </c>
      <c r="C107" s="3">
        <v>80</v>
      </c>
      <c r="D107" s="3">
        <v>-4.5999999999999999E-2</v>
      </c>
      <c r="E107" s="3">
        <v>80</v>
      </c>
      <c r="F107" s="3">
        <v>-2.5999999999999999E-2</v>
      </c>
      <c r="G107">
        <f t="shared" si="12"/>
        <v>0.36787944117144233</v>
      </c>
      <c r="H107">
        <f t="shared" si="13"/>
        <v>4.8279499938314414E-3</v>
      </c>
      <c r="I107">
        <f t="shared" si="14"/>
        <v>1.1743628457021361E-2</v>
      </c>
      <c r="J107">
        <f t="shared" si="15"/>
        <v>1.6530235795273494E-2</v>
      </c>
    </row>
    <row r="108" spans="1:10" x14ac:dyDescent="0.3">
      <c r="A108" s="3">
        <v>84</v>
      </c>
      <c r="B108" s="3">
        <v>-0.05</v>
      </c>
      <c r="C108" s="3">
        <v>84</v>
      </c>
      <c r="D108" s="3">
        <v>-5.0999999999999997E-2</v>
      </c>
      <c r="E108" s="3">
        <v>84</v>
      </c>
      <c r="F108" s="3">
        <v>-3.3000000000000002E-2</v>
      </c>
      <c r="G108">
        <f t="shared" si="12"/>
        <v>0.36787944117144233</v>
      </c>
      <c r="H108">
        <f t="shared" si="13"/>
        <v>3.697863716482932E-3</v>
      </c>
      <c r="I108">
        <f t="shared" si="14"/>
        <v>9.4035625514952061E-3</v>
      </c>
      <c r="J108">
        <f t="shared" si="15"/>
        <v>1.3464585890646684E-2</v>
      </c>
    </row>
    <row r="109" spans="1:10" x14ac:dyDescent="0.3">
      <c r="A109" s="3">
        <v>88</v>
      </c>
      <c r="B109" s="3">
        <v>-4.2000000000000003E-2</v>
      </c>
      <c r="C109" s="3">
        <v>88</v>
      </c>
      <c r="D109" s="3">
        <v>-4.4999999999999998E-2</v>
      </c>
      <c r="E109" s="3">
        <v>88</v>
      </c>
      <c r="F109" s="3">
        <v>-3.2000000000000001E-2</v>
      </c>
      <c r="G109">
        <f t="shared" si="12"/>
        <v>0.36787944117144233</v>
      </c>
      <c r="H109">
        <f t="shared" si="13"/>
        <v>2.832298611864697E-3</v>
      </c>
      <c r="I109">
        <f t="shared" si="14"/>
        <v>7.5297842556500232E-3</v>
      </c>
      <c r="J109">
        <f t="shared" si="15"/>
        <v>1.0967482584757781E-2</v>
      </c>
    </row>
    <row r="110" spans="1:10" x14ac:dyDescent="0.3">
      <c r="A110" s="3">
        <v>92</v>
      </c>
      <c r="B110" s="3">
        <v>-3.1E-2</v>
      </c>
      <c r="C110" s="3">
        <v>92</v>
      </c>
      <c r="D110" s="3">
        <v>-3.2000000000000001E-2</v>
      </c>
      <c r="E110" s="3">
        <v>92</v>
      </c>
      <c r="F110" s="3">
        <v>-2.5000000000000001E-2</v>
      </c>
      <c r="G110">
        <f t="shared" si="12"/>
        <v>0.36787944117144233</v>
      </c>
      <c r="H110">
        <f t="shared" si="13"/>
        <v>2.1693377695380265E-3</v>
      </c>
      <c r="I110">
        <f t="shared" si="14"/>
        <v>6.0293798893930745E-3</v>
      </c>
      <c r="J110">
        <f t="shared" si="15"/>
        <v>8.9334848634686163E-3</v>
      </c>
    </row>
    <row r="111" spans="1:10" x14ac:dyDescent="0.3">
      <c r="A111" s="3">
        <v>96</v>
      </c>
      <c r="B111" s="3">
        <v>-1.6E-2</v>
      </c>
      <c r="C111" s="3">
        <v>96</v>
      </c>
      <c r="D111" s="3">
        <v>-1.6E-2</v>
      </c>
      <c r="E111" s="3">
        <v>96</v>
      </c>
      <c r="F111" s="3">
        <v>-1.2999999999999999E-2</v>
      </c>
      <c r="G111">
        <f t="shared" si="12"/>
        <v>0.36787944117144233</v>
      </c>
      <c r="H111">
        <f t="shared" si="13"/>
        <v>1.6615572731739339E-3</v>
      </c>
      <c r="I111">
        <f t="shared" si="14"/>
        <v>4.8279499938314414E-3</v>
      </c>
      <c r="J111">
        <f t="shared" si="15"/>
        <v>7.276706499332492E-3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Tomchuk</dc:creator>
  <cp:lastModifiedBy>Grigory Tomchuk</cp:lastModifiedBy>
  <dcterms:created xsi:type="dcterms:W3CDTF">2025-10-23T00:44:54Z</dcterms:created>
  <dcterms:modified xsi:type="dcterms:W3CDTF">2025-11-11T09:11:36Z</dcterms:modified>
</cp:coreProperties>
</file>